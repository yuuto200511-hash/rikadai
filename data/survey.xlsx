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凡例" sheetId="1" state="visible" r:id="rId3"/>
    <sheet name="spots" sheetId="2" state="visible" r:id="rId4"/>
    <sheet name="選択肢" sheetId="3" state="visible" r:id="rId5"/>
    <sheet name="要確認" sheetId="4" state="visible" r:id="rId6"/>
    <sheet name="集計" sheetId="5" state="visible" r:id="rId7"/>
    <sheet name="reserva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R1" authorId="0">
      <text>
        <r>
          <rPr>
            <sz val="10"/>
            <rFont val="Noto Sans CJK SC"/>
            <family val="2"/>
          </rPr>
          <t xml:space="preserve">参考表示のみ。取込対象外（</t>
        </r>
        <r>
          <rPr>
            <sz val="10"/>
            <rFont val="Arial"/>
            <family val="2"/>
          </rPr>
          <t xml:space="preserve">DESIGN.md</t>
        </r>
        <r>
          <rPr>
            <sz val="10"/>
            <rFont val="Noto Sans CJK SC"/>
            <family val="2"/>
          </rPr>
          <t xml:space="preserve">の方針どおりアプリ側で計算）。</t>
        </r>
      </text>
    </comment>
  </commentList>
</comments>
</file>

<file path=xl/sharedStrings.xml><?xml version="1.0" encoding="utf-8"?>
<sst xmlns="http://schemas.openxmlformats.org/spreadsheetml/2006/main" count="2263" uniqueCount="366">
  <si>
    <t xml:space="preserve">キャンパス・スポットナビ 調査データ（survey.xlsx）</t>
  </si>
  <si>
    <t xml:space="preserve">・spots シート：1行目が取込用の列名、2行目は日本語ラベル（取込時は2行目を読み飛ばす）。3行目以降がデータ。</t>
  </si>
  <si>
    <t xml:space="preserve">・黄色のセル：空欄または「未調査」。要確認シートと併せて埋めていく。</t>
  </si>
  <si>
    <t xml:space="preserve">・灰色の列（電源確保率）：参考表示のみで取込対象外。</t>
  </si>
  <si>
    <t xml:space="preserve">・選択式の列はプルダウンで入力できる（選択肢シートで定義）。</t>
  </si>
  <si>
    <t xml:space="preserve">・コンセント数は「実際に挿せる差込口の数」で統一（タップ数ベース）。</t>
  </si>
  <si>
    <t xml:space="preserve">・元データ：21号館調査.xlsx／講義棟調査.xlsx／実験D調査報告書（久保田, 2026-09-25）。どの行がどれ由来かは source 列を参照、閲覧室図書館_ver2.xlsx（椅子・飲食・階を追加）。</t>
  </si>
  <si>
    <t xml:space="preserve">・元データの解釈で判断した箇所は、すべて要確認シートに記載、閲覧室図書館_ver2.xlsx（椅子・飲食・階を追加）。</t>
  </si>
  <si>
    <t xml:space="preserve">・reservations シート：CLASSの教室利用状況（2026/10/02 金）。授業・予約で使われている枠。</t>
  </si>
  <si>
    <t xml:space="preserve">spot_id</t>
  </si>
  <si>
    <t xml:space="preserve">building</t>
  </si>
  <si>
    <t xml:space="preserve">floor</t>
  </si>
  <si>
    <t xml:space="preserve">area_name</t>
  </si>
  <si>
    <t xml:space="preserve">seats</t>
  </si>
  <si>
    <t xml:space="preserve">outlets</t>
  </si>
  <si>
    <t xml:space="preserve">chair_type</t>
  </si>
  <si>
    <t xml:space="preserve">standing</t>
  </si>
  <si>
    <t xml:space="preserve">quietness</t>
  </si>
  <si>
    <t xml:space="preserve">food</t>
  </si>
  <si>
    <t xml:space="preserve">task_light</t>
  </si>
  <si>
    <t xml:space="preserve">outlet_location</t>
  </si>
  <si>
    <t xml:space="preserve">note</t>
  </si>
  <si>
    <t xml:space="preserve">photo</t>
  </si>
  <si>
    <t xml:space="preserve">surveyed_at</t>
  </si>
  <si>
    <t xml:space="preserve">surveyor</t>
  </si>
  <si>
    <t xml:space="preserve">source</t>
  </si>
  <si>
    <t xml:space="preserve">_power_ratio</t>
  </si>
  <si>
    <t xml:space="preserve">スポットID</t>
  </si>
  <si>
    <t xml:space="preserve">建物</t>
  </si>
  <si>
    <t xml:space="preserve">階</t>
  </si>
  <si>
    <t xml:space="preserve">エリア名</t>
  </si>
  <si>
    <t xml:space="preserve">座席数</t>
  </si>
  <si>
    <t xml:space="preserve">コンセント数（使える差込口）</t>
  </si>
  <si>
    <t xml:space="preserve">椅子の種類</t>
  </si>
  <si>
    <t xml:space="preserve">立ち作業</t>
  </si>
  <si>
    <t xml:space="preserve">静粛性</t>
  </si>
  <si>
    <t xml:space="preserve">飲食可否</t>
  </si>
  <si>
    <t xml:space="preserve">作業灯</t>
  </si>
  <si>
    <t xml:space="preserve">コンセントの位置</t>
  </si>
  <si>
    <t xml:space="preserve">備考</t>
  </si>
  <si>
    <t xml:space="preserve">写真</t>
  </si>
  <si>
    <t xml:space="preserve">調査日</t>
  </si>
  <si>
    <t xml:space="preserve">調査者</t>
  </si>
  <si>
    <t xml:space="preserve">元データ</t>
  </si>
  <si>
    <t xml:space="preserve">（参考）電源確保率</t>
  </si>
  <si>
    <t xml:space="preserve">S001</t>
  </si>
  <si>
    <r>
      <rPr>
        <sz val="11"/>
        <rFont val="Arial"/>
        <family val="0"/>
        <charset val="1"/>
      </rPr>
      <t xml:space="preserve">21</t>
    </r>
    <r>
      <rPr>
        <sz val="11"/>
        <rFont val="Noto Sans CJK SC"/>
        <family val="2"/>
      </rPr>
      <t xml:space="preserve">号館</t>
    </r>
  </si>
  <si>
    <t xml:space="preserve">自習教室（12・13教室）</t>
  </si>
  <si>
    <t xml:space="preserve">木製椅子</t>
  </si>
  <si>
    <t xml:space="preserve">不可</t>
  </si>
  <si>
    <t xml:space="preserve">通話可</t>
  </si>
  <si>
    <t xml:space="preserve">食事可</t>
  </si>
  <si>
    <t xml:space="preserve">未調査</t>
  </si>
  <si>
    <t xml:space="preserve">窓以外の壁3面</t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</si>
  <si>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階の自習教室。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人掛けの机に椅子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脚。利用者が少なく静か。</t>
    </r>
  </si>
  <si>
    <r>
      <rPr>
        <sz val="11"/>
        <rFont val="Arial"/>
        <family val="0"/>
        <charset val="1"/>
      </rPr>
      <t xml:space="preserve">21</t>
    </r>
    <r>
      <rPr>
        <sz val="11"/>
        <rFont val="Noto Sans CJK SC"/>
        <family val="2"/>
      </rPr>
      <t xml:space="preserve">号館調査</t>
    </r>
    <r>
      <rPr>
        <sz val="11"/>
        <rFont val="Arial"/>
        <family val="0"/>
        <charset val="1"/>
      </rPr>
      <t xml:space="preserve">.xlsx</t>
    </r>
  </si>
  <si>
    <t xml:space="preserve">S002</t>
  </si>
  <si>
    <t xml:space="preserve">階段脇 立ち作業スペース</t>
  </si>
  <si>
    <t xml:space="preserve">なし</t>
  </si>
  <si>
    <t xml:space="preserve">可</t>
  </si>
  <si>
    <t xml:space="preserve">柱に2か所・付近の壁に2か所</t>
  </si>
  <si>
    <t xml:space="preserve">階段付近の立ち作業スペース。座席数は詰めた場合の人数。人目を気にするなら柱のコンセントのみ。廊下にもコンセントが多数ある。</t>
  </si>
  <si>
    <t xml:space="preserve">S003</t>
  </si>
  <si>
    <t xml:space="preserve">スタディプラザ1</t>
  </si>
  <si>
    <t xml:space="preserve">クッション椅子</t>
  </si>
  <si>
    <t xml:space="preserve">飲み物のみ</t>
  </si>
  <si>
    <t xml:space="preserve">横の壁の前後</t>
  </si>
  <si>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階のガラス張りの部屋。座り心地の良い椅子（木製椅子が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脚混在）。飲み物は蓋付きのみ可。</t>
    </r>
  </si>
  <si>
    <t xml:space="preserve">S004</t>
  </si>
  <si>
    <t xml:space="preserve">スタディプラザ2</t>
  </si>
  <si>
    <t xml:space="preserve">横の壁の前・中・後</t>
  </si>
  <si>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階のガラス張りの部屋。座り心地の良い椅子（木製椅子が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脚混在）。飲み物は蓋付きのみ可。</t>
    </r>
  </si>
  <si>
    <t xml:space="preserve">S005</t>
  </si>
  <si>
    <t xml:space="preserve">講義棟</t>
  </si>
  <si>
    <t xml:space="preserve">K501</t>
  </si>
  <si>
    <t xml:space="preserve">会話可</t>
  </si>
  <si>
    <t xml:space="preserve">講義室。</t>
  </si>
  <si>
    <t xml:space="preserve">講義棟調査.xlsx</t>
  </si>
  <si>
    <t xml:space="preserve">S006</t>
  </si>
  <si>
    <t xml:space="preserve">K502</t>
  </si>
  <si>
    <t xml:space="preserve">S007</t>
  </si>
  <si>
    <t xml:space="preserve">K503</t>
  </si>
  <si>
    <t xml:space="preserve">S008</t>
  </si>
  <si>
    <t xml:space="preserve">K504</t>
  </si>
  <si>
    <t xml:space="preserve">S009</t>
  </si>
  <si>
    <t xml:space="preserve">K505</t>
  </si>
  <si>
    <t xml:space="preserve">S010</t>
  </si>
  <si>
    <t xml:space="preserve">K506</t>
  </si>
  <si>
    <t xml:space="preserve">S011</t>
  </si>
  <si>
    <t xml:space="preserve">K507</t>
  </si>
  <si>
    <t xml:space="preserve">S012</t>
  </si>
  <si>
    <t xml:space="preserve">K508</t>
  </si>
  <si>
    <t xml:space="preserve">S013</t>
  </si>
  <si>
    <t xml:space="preserve">K509</t>
  </si>
  <si>
    <t xml:space="preserve">S014</t>
  </si>
  <si>
    <t xml:space="preserve">K602</t>
  </si>
  <si>
    <t xml:space="preserve">S015</t>
  </si>
  <si>
    <t xml:space="preserve">K603</t>
  </si>
  <si>
    <t xml:space="preserve">S016</t>
  </si>
  <si>
    <t xml:space="preserve">K604</t>
  </si>
  <si>
    <t xml:space="preserve">S017</t>
  </si>
  <si>
    <t xml:space="preserve">K605</t>
  </si>
  <si>
    <t xml:space="preserve">S018</t>
  </si>
  <si>
    <t xml:space="preserve">K606</t>
  </si>
  <si>
    <t xml:space="preserve">S019</t>
  </si>
  <si>
    <t xml:space="preserve">K607</t>
  </si>
  <si>
    <t xml:space="preserve">S020</t>
  </si>
  <si>
    <t xml:space="preserve">K608</t>
  </si>
  <si>
    <t xml:space="preserve">S021</t>
  </si>
  <si>
    <t xml:space="preserve">K609</t>
  </si>
  <si>
    <t xml:space="preserve">S022</t>
  </si>
  <si>
    <t xml:space="preserve">K610</t>
  </si>
  <si>
    <t xml:space="preserve">S023</t>
  </si>
  <si>
    <t xml:space="preserve">K701</t>
  </si>
  <si>
    <t xml:space="preserve">机一体型</t>
  </si>
  <si>
    <t xml:space="preserve">S024</t>
  </si>
  <si>
    <t xml:space="preserve">K702</t>
  </si>
  <si>
    <t xml:space="preserve">S025</t>
  </si>
  <si>
    <t xml:space="preserve">K703</t>
  </si>
  <si>
    <t xml:space="preserve">S026</t>
  </si>
  <si>
    <t xml:space="preserve">K704</t>
  </si>
  <si>
    <t xml:space="preserve">S027</t>
  </si>
  <si>
    <t xml:space="preserve">K705</t>
  </si>
  <si>
    <t xml:space="preserve">S028</t>
  </si>
  <si>
    <t xml:space="preserve">K706</t>
  </si>
  <si>
    <t xml:space="preserve">S029</t>
  </si>
  <si>
    <t xml:space="preserve">K707</t>
  </si>
  <si>
    <t xml:space="preserve">キャスター付き椅子</t>
  </si>
  <si>
    <t xml:space="preserve">S030</t>
  </si>
  <si>
    <t xml:space="preserve">K708</t>
  </si>
  <si>
    <t xml:space="preserve">S031</t>
  </si>
  <si>
    <t xml:space="preserve">K709</t>
  </si>
  <si>
    <t xml:space="preserve">S032</t>
  </si>
  <si>
    <t xml:space="preserve">閲覧室（建物未記入）</t>
  </si>
  <si>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人掛けデスク</t>
    </r>
  </si>
  <si>
    <t xml:space="preserve">あり</t>
  </si>
  <si>
    <t xml:space="preserve">座席間に1口</t>
  </si>
  <si>
    <t xml:space="preserve">椅子：背もたれあり・座面にクッション。窓際5台・中央16台の計21台。建物内にゴミ箱・自動販売機あり。利用者が多く、毎回かなりうるさい。</t>
  </si>
  <si>
    <t xml:space="preserve">2026-09-25</t>
  </si>
  <si>
    <t xml:space="preserve">久保田</t>
  </si>
  <si>
    <t xml:space="preserve">実験D調査報告書(2026-09-25)＋佐藤 聞き取り（静粛性）＋閲覧室図書館_ver2.xlsx</t>
  </si>
  <si>
    <t xml:space="preserve">S033</t>
  </si>
  <si>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人掛けデスク</t>
    </r>
  </si>
  <si>
    <r>
      <rPr>
        <sz val="11"/>
        <rFont val="Noto Sans CJK SC"/>
        <family val="2"/>
      </rPr>
      <t xml:space="preserve">椅子：背もたれあり・座面にクッション。</t>
    </r>
    <r>
      <rPr>
        <sz val="11"/>
        <rFont val="Arial"/>
        <family val="0"/>
        <charset val="1"/>
      </rPr>
      <t xml:space="preserve">14</t>
    </r>
    <r>
      <rPr>
        <sz val="11"/>
        <rFont val="Noto Sans CJK SC"/>
        <family val="2"/>
      </rPr>
      <t xml:space="preserve">台。</t>
    </r>
    <r>
      <rPr>
        <sz val="11"/>
        <rFont val="Arial"/>
        <family val="0"/>
        <charset val="1"/>
      </rPr>
      <t xml:space="preserve">LAN</t>
    </r>
    <r>
      <rPr>
        <sz val="11"/>
        <rFont val="Noto Sans CJK SC"/>
        <family val="2"/>
      </rPr>
      <t xml:space="preserve">端子らしきメス端子が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口ある（使用可否は未確認）。利用者が多く、毎回かなりうるさい。</t>
    </r>
  </si>
  <si>
    <t xml:space="preserve">S034</t>
  </si>
  <si>
    <t xml:space="preserve">ソファ（3人掛け）</t>
  </si>
  <si>
    <t xml:space="preserve">ソファ</t>
  </si>
  <si>
    <r>
      <rPr>
        <sz val="11"/>
        <rFont val="Noto Sans CJK SC"/>
        <family val="2"/>
      </rPr>
      <t xml:space="preserve">椅子：背もたれあり・座面と背もたれがクッション。</t>
    </r>
    <r>
      <rPr>
        <sz val="11"/>
        <rFont val="Arial"/>
        <family val="0"/>
        <charset val="1"/>
      </rPr>
      <t xml:space="preserve">4</t>
    </r>
    <r>
      <rPr>
        <sz val="11"/>
        <rFont val="Noto Sans CJK SC"/>
        <family val="2"/>
      </rPr>
      <t xml:space="preserve">脚。利用者が多く、毎回かなりうるさい。</t>
    </r>
  </si>
  <si>
    <t xml:space="preserve">S035</t>
  </si>
  <si>
    <t xml:space="preserve">ソファ（2人掛け）</t>
  </si>
  <si>
    <t xml:space="preserve">S036</t>
  </si>
  <si>
    <t xml:space="preserve">ラウンジチェア</t>
  </si>
  <si>
    <r>
      <rPr>
        <sz val="11"/>
        <rFont val="Noto Sans CJK SC"/>
        <family val="2"/>
      </rPr>
      <t xml:space="preserve">椅子：背もたれあり・ひじ掛けあり。</t>
    </r>
    <r>
      <rPr>
        <sz val="11"/>
        <rFont val="Arial"/>
        <family val="0"/>
        <charset val="1"/>
      </rPr>
      <t xml:space="preserve">8</t>
    </r>
    <r>
      <rPr>
        <sz val="11"/>
        <rFont val="Noto Sans CJK SC"/>
        <family val="2"/>
      </rPr>
      <t xml:space="preserve">脚。利用者が多く、毎回かなりうるさい。</t>
    </r>
  </si>
  <si>
    <t xml:space="preserve">S037</t>
  </si>
  <si>
    <t xml:space="preserve">自習室（建物未記入）</t>
  </si>
  <si>
    <t xml:space="preserve">自習室</t>
  </si>
  <si>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名掛けデスク</t>
    </r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台。電源なし。</t>
    </r>
  </si>
  <si>
    <t xml:space="preserve">実験D調査報告書(2026-09-25)</t>
  </si>
  <si>
    <t xml:space="preserve">S038</t>
  </si>
  <si>
    <t xml:space="preserve">図書館</t>
  </si>
  <si>
    <t xml:space="preserve">入り口右手</t>
  </si>
  <si>
    <t xml:space="preserve">通常椅子</t>
  </si>
  <si>
    <t xml:space="preserve">私語厳禁</t>
  </si>
  <si>
    <t xml:space="preserve">椅子：背もたれあり。飲み物は蓋付きのみ可。</t>
  </si>
  <si>
    <t xml:space="preserve">S039</t>
  </si>
  <si>
    <t xml:space="preserve">入り口正面</t>
  </si>
  <si>
    <t xml:space="preserve">椅子：背もたれあり・やわらかい。飲み物は蓋付きのみ可。電源はあるが使用できない。</t>
  </si>
  <si>
    <t xml:space="preserve">S040</t>
  </si>
  <si>
    <t xml:space="preserve">ラウンジ席</t>
  </si>
  <si>
    <t xml:space="preserve">スツール</t>
  </si>
  <si>
    <t xml:space="preserve">椅子：背もたれなし。飲み物は蓋付きのみ可。</t>
  </si>
  <si>
    <t xml:space="preserve">S041</t>
  </si>
  <si>
    <t xml:space="preserve">階段上がってすぐ スタンドアップデスク</t>
  </si>
  <si>
    <t xml:space="preserve">各辺に2口（1口あたり2タップ）</t>
  </si>
  <si>
    <r>
      <rPr>
        <sz val="11"/>
        <rFont val="Noto Sans CJK SC"/>
        <family val="2"/>
      </rPr>
      <t xml:space="preserve">椅子：椅子なし。飲み物は蓋付きのみ可。</t>
    </r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人用のスタンドアップデスク。</t>
    </r>
  </si>
  <si>
    <t xml:space="preserve">S042</t>
  </si>
  <si>
    <t xml:space="preserve">ソファ席</t>
  </si>
  <si>
    <t xml:space="preserve">椅子：やわらかい・背もたれあり。飲み物は蓋付きのみ可。</t>
  </si>
  <si>
    <t xml:space="preserve">S043</t>
  </si>
  <si>
    <t xml:space="preserve">階段右手</t>
  </si>
  <si>
    <t xml:space="preserve">椅子：背もたれあり・普通。飲み物は蓋付きのみ可。</t>
  </si>
  <si>
    <t xml:space="preserve">S044</t>
  </si>
  <si>
    <t xml:space="preserve">階段周辺のチェア</t>
  </si>
  <si>
    <t xml:space="preserve">椅子：背もたれあり・ひじ掛けと小さなテーブル付き。飲み物は蓋付きのみ可。</t>
  </si>
  <si>
    <t xml:space="preserve">S045</t>
  </si>
  <si>
    <t xml:space="preserve">個人研究室を挟んだ反対側のチェア</t>
  </si>
  <si>
    <t xml:space="preserve">S046</t>
  </si>
  <si>
    <t xml:space="preserve">壁沿いデスク</t>
  </si>
  <si>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席あたり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口（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タップ）</t>
    </r>
  </si>
  <si>
    <r>
      <rPr>
        <sz val="11"/>
        <rFont val="Noto Sans CJK SC"/>
        <family val="2"/>
      </rPr>
      <t xml:space="preserve">椅子：背もたれあり・普通。飲み物は蓋付きのみ可。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人掛け</t>
    </r>
    <r>
      <rPr>
        <sz val="11"/>
        <rFont val="Arial"/>
        <family val="0"/>
        <charset val="1"/>
      </rPr>
      <t xml:space="preserve">36</t>
    </r>
    <r>
      <rPr>
        <sz val="11"/>
        <rFont val="Noto Sans CJK SC"/>
        <family val="2"/>
      </rPr>
      <t xml:space="preserve">台・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人掛け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台。図書館で電源が使える座席のほとんどがここ。</t>
    </r>
  </si>
  <si>
    <t xml:space="preserve">S047</t>
  </si>
  <si>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階南 右側</t>
    </r>
  </si>
  <si>
    <t xml:space="preserve">S048</t>
  </si>
  <si>
    <t xml:space="preserve">参考図書（000〜999）横</t>
  </si>
  <si>
    <t xml:space="preserve">S049</t>
  </si>
  <si>
    <t xml:space="preserve">個人研究室横</t>
  </si>
  <si>
    <t xml:space="preserve">S050</t>
  </si>
  <si>
    <r>
      <rPr>
        <sz val="11"/>
        <rFont val="Arial"/>
        <family val="0"/>
        <charset val="1"/>
      </rPr>
      <t xml:space="preserve">400−419</t>
    </r>
    <r>
      <rPr>
        <sz val="11"/>
        <rFont val="Noto Sans CJK SC"/>
        <family val="2"/>
      </rPr>
      <t xml:space="preserve">横〜リフレッシュルーム横</t>
    </r>
  </si>
  <si>
    <t xml:space="preserve">小声可</t>
  </si>
  <si>
    <t xml:space="preserve">「未調査」は取込時に条件検索の対象外として扱う想定。通常椅子＝背もたれのある普通の椅子、スツール＝背もたれなし。</t>
  </si>
  <si>
    <t xml:space="preserve">対象ID</t>
  </si>
  <si>
    <t xml:space="preserve">項目</t>
  </si>
  <si>
    <t xml:space="preserve">対象</t>
  </si>
  <si>
    <t xml:space="preserve">内容</t>
  </si>
  <si>
    <t xml:space="preserve">対応</t>
  </si>
  <si>
    <t xml:space="preserve">-</t>
  </si>
  <si>
    <r>
      <rPr>
        <sz val="11"/>
        <rFont val="Noto Sans CJK SC"/>
        <family val="2"/>
      </rPr>
      <t xml:space="preserve">講義棟 </t>
    </r>
    <r>
      <rPr>
        <sz val="11"/>
        <rFont val="Arial"/>
        <family val="0"/>
        <charset val="1"/>
      </rPr>
      <t xml:space="preserve">K510</t>
    </r>
    <r>
      <rPr>
        <sz val="11"/>
        <rFont val="Noto Sans CJK SC"/>
        <family val="2"/>
      </rPr>
      <t xml:space="preserve">・</t>
    </r>
    <r>
      <rPr>
        <sz val="11"/>
        <rFont val="Arial"/>
        <family val="0"/>
        <charset val="1"/>
      </rPr>
      <t xml:space="preserve">K601</t>
    </r>
  </si>
  <si>
    <t xml:space="preserve">元データで「使用不可」。スポットから除外した。</t>
  </si>
  <si>
    <t xml:space="preserve">恒久的に使えないのか、一時的か確認</t>
  </si>
  <si>
    <t xml:space="preserve">座席数が空欄。</t>
  </si>
  <si>
    <t xml:space="preserve">再調査して記入</t>
  </si>
  <si>
    <r>
      <rPr>
        <sz val="11"/>
        <rFont val="Arial"/>
        <family val="0"/>
        <charset val="1"/>
      </rPr>
      <t xml:space="preserve">S023</t>
    </r>
    <r>
      <rPr>
        <sz val="11"/>
        <rFont val="Noto Sans CJK SC"/>
        <family val="2"/>
      </rPr>
      <t xml:space="preserve">〜</t>
    </r>
    <r>
      <rPr>
        <sz val="11"/>
        <rFont val="Arial"/>
        <family val="0"/>
        <charset val="1"/>
      </rPr>
      <t xml:space="preserve">S027</t>
    </r>
  </si>
  <si>
    <r>
      <rPr>
        <sz val="11"/>
        <rFont val="Arial"/>
        <family val="0"/>
        <charset val="1"/>
      </rPr>
      <t xml:space="preserve">K701</t>
    </r>
    <r>
      <rPr>
        <sz val="11"/>
        <rFont val="Noto Sans CJK SC"/>
        <family val="2"/>
      </rPr>
      <t xml:space="preserve">〜</t>
    </r>
    <r>
      <rPr>
        <sz val="11"/>
        <rFont val="Arial"/>
        <family val="0"/>
        <charset val="1"/>
      </rPr>
      <t xml:space="preserve">K705</t>
    </r>
  </si>
  <si>
    <r>
      <rPr>
        <sz val="11"/>
        <rFont val="Noto Sans CJK SC"/>
        <family val="2"/>
      </rPr>
      <t xml:space="preserve">コンセント</t>
    </r>
    <r>
      <rPr>
        <sz val="11"/>
        <rFont val="Arial"/>
        <family val="0"/>
        <charset val="1"/>
      </rPr>
      <t xml:space="preserve">220</t>
    </r>
    <r>
      <rPr>
        <sz val="11"/>
        <rFont val="Noto Sans CJK SC"/>
        <family val="2"/>
      </rPr>
      <t xml:space="preserve">口に対し座席</t>
    </r>
    <r>
      <rPr>
        <sz val="11"/>
        <rFont val="Arial"/>
        <family val="0"/>
        <charset val="1"/>
      </rPr>
      <t xml:space="preserve">160</t>
    </r>
    <r>
      <rPr>
        <sz val="11"/>
        <rFont val="Noto Sans CJK SC"/>
        <family val="2"/>
      </rPr>
      <t xml:space="preserve">席。他の講義室（</t>
    </r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口）と桁が違う。</t>
    </r>
  </si>
  <si>
    <t xml:space="preserve">入力ミスでないか確認</t>
  </si>
  <si>
    <r>
      <rPr>
        <sz val="11"/>
        <rFont val="Noto Sans CJK SC"/>
        <family val="2"/>
      </rPr>
      <t xml:space="preserve">講義棟全</t>
    </r>
    <r>
      <rPr>
        <sz val="11"/>
        <rFont val="Arial"/>
        <family val="0"/>
        <charset val="1"/>
      </rPr>
      <t xml:space="preserve">27</t>
    </r>
    <r>
      <rPr>
        <sz val="11"/>
        <rFont val="Noto Sans CJK SC"/>
        <family val="2"/>
      </rPr>
      <t xml:space="preserve">室</t>
    </r>
  </si>
  <si>
    <t xml:space="preserve">作業灯が未調査。（静粛性・飲食可否は佐藤の確認により「会話可」「食事可」に更新済み）</t>
  </si>
  <si>
    <t xml:space="preserve">調査して記入</t>
  </si>
  <si>
    <t xml:space="preserve">閲覧室・自習室</t>
  </si>
  <si>
    <t xml:space="preserve">building / floor</t>
  </si>
  <si>
    <r>
      <rPr>
        <sz val="11"/>
        <rFont val="Noto Sans CJK SC"/>
        <family val="2"/>
      </rPr>
      <t xml:space="preserve">閲覧室は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階と判明したが、建物名が未記入。自習室は建物名・階とも未記入。</t>
    </r>
  </si>
  <si>
    <t xml:space="preserve">建物名（自習室は階も）を記入</t>
  </si>
  <si>
    <t xml:space="preserve">quietness / food</t>
  </si>
  <si>
    <r>
      <rPr>
        <sz val="11"/>
        <rFont val="Noto Sans CJK SC"/>
        <family val="2"/>
      </rPr>
      <t xml:space="preserve">自習室の静粛性・飲食可否が未調査（閲覧室・図書館は</t>
    </r>
    <r>
      <rPr>
        <sz val="11"/>
        <rFont val="Arial"/>
        <family val="0"/>
        <charset val="1"/>
      </rPr>
      <t xml:space="preserve">ver2</t>
    </r>
    <r>
      <rPr>
        <sz val="11"/>
        <rFont val="Noto Sans CJK SC"/>
        <family val="2"/>
      </rPr>
      <t xml:space="preserve">と佐藤の確認で記入済み）。</t>
    </r>
  </si>
  <si>
    <r>
      <rPr>
        <sz val="11"/>
        <rFont val="Noto Sans CJK SC"/>
        <family val="2"/>
      </rPr>
      <t xml:space="preserve">閲覧室 </t>
    </r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人掛けデスク</t>
    </r>
  </si>
  <si>
    <r>
      <rPr>
        <sz val="11"/>
        <rFont val="Noto Sans CJK SC"/>
        <family val="2"/>
      </rPr>
      <t xml:space="preserve">元データ「座席間に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口（タップ</t>
    </r>
    <r>
      <rPr>
        <sz val="11"/>
        <rFont val="Arial"/>
        <family val="0"/>
        <charset val="1"/>
      </rPr>
      <t xml:space="preserve">4×2</t>
    </r>
    <r>
      <rPr>
        <sz val="11"/>
        <rFont val="Noto Sans CJK SC"/>
        <family val="2"/>
      </rPr>
      <t xml:space="preserve">＝</t>
    </r>
    <r>
      <rPr>
        <sz val="11"/>
        <rFont val="Arial"/>
        <family val="0"/>
        <charset val="1"/>
      </rPr>
      <t xml:space="preserve">8</t>
    </r>
    <r>
      <rPr>
        <sz val="11"/>
        <rFont val="Noto Sans CJK SC"/>
        <family val="2"/>
      </rPr>
      <t xml:space="preserve">個）」を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台あたり</t>
    </r>
    <r>
      <rPr>
        <sz val="11"/>
        <rFont val="Arial"/>
        <family val="0"/>
        <charset val="1"/>
      </rPr>
      <t xml:space="preserve">8</t>
    </r>
    <r>
      <rPr>
        <sz val="11"/>
        <rFont val="Noto Sans CJK SC"/>
        <family val="2"/>
      </rPr>
      <t xml:space="preserve">タップと解釈し、</t>
    </r>
    <r>
      <rPr>
        <sz val="11"/>
        <rFont val="Arial"/>
        <family val="0"/>
        <charset val="1"/>
      </rPr>
      <t xml:space="preserve">8×21</t>
    </r>
    <r>
      <rPr>
        <sz val="11"/>
        <rFont val="Noto Sans CJK SC"/>
        <family val="2"/>
      </rPr>
      <t xml:space="preserve">台＝</t>
    </r>
    <r>
      <rPr>
        <sz val="11"/>
        <rFont val="Arial"/>
        <family val="0"/>
        <charset val="1"/>
      </rPr>
      <t xml:space="preserve">168</t>
    </r>
    <r>
      <rPr>
        <sz val="11"/>
        <rFont val="Noto Sans CJK SC"/>
        <family val="2"/>
      </rPr>
      <t xml:space="preserve">とした。</t>
    </r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</si>
  <si>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台あたりか合計かを調査者に確認</t>
    </r>
  </si>
  <si>
    <r>
      <rPr>
        <sz val="11"/>
        <rFont val="Noto Sans CJK SC"/>
        <family val="2"/>
      </rPr>
      <t xml:space="preserve">閲覧室 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人掛けデスク</t>
    </r>
  </si>
  <si>
    <r>
      <rPr>
        <sz val="11"/>
        <rFont val="Noto Sans CJK SC"/>
        <family val="2"/>
      </rPr>
      <t xml:space="preserve">「タップ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個」を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台あたりと解釈し、</t>
    </r>
    <r>
      <rPr>
        <sz val="11"/>
        <rFont val="Arial"/>
        <family val="0"/>
        <charset val="1"/>
      </rPr>
      <t xml:space="preserve">2×14</t>
    </r>
    <r>
      <rPr>
        <sz val="11"/>
        <rFont val="Noto Sans CJK SC"/>
        <family val="2"/>
      </rPr>
      <t xml:space="preserve">台＝</t>
    </r>
    <r>
      <rPr>
        <sz val="11"/>
        <rFont val="Arial"/>
        <family val="0"/>
        <charset val="1"/>
      </rPr>
      <t xml:space="preserve">28</t>
    </r>
    <r>
      <rPr>
        <sz val="11"/>
        <rFont val="Noto Sans CJK SC"/>
        <family val="2"/>
      </rPr>
      <t xml:space="preserve">とした。</t>
    </r>
  </si>
  <si>
    <t xml:space="preserve">同上</t>
  </si>
  <si>
    <r>
      <rPr>
        <sz val="11"/>
        <rFont val="Noto Sans CJK SC"/>
        <family val="2"/>
      </rPr>
      <t xml:space="preserve">図書館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階 壁沿いデスク</t>
    </r>
  </si>
  <si>
    <r>
      <rPr>
        <sz val="11"/>
        <rFont val="Noto Sans CJK SC"/>
        <family val="2"/>
      </rPr>
      <t xml:space="preserve">「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席あたり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口（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タップ）」から、</t>
    </r>
    <r>
      <rPr>
        <sz val="11"/>
        <rFont val="Arial"/>
        <family val="0"/>
        <charset val="1"/>
      </rPr>
      <t xml:space="preserve">38</t>
    </r>
    <r>
      <rPr>
        <sz val="11"/>
        <rFont val="Noto Sans CJK SC"/>
        <family val="2"/>
      </rPr>
      <t xml:space="preserve">口</t>
    </r>
    <r>
      <rPr>
        <sz val="11"/>
        <rFont val="Arial"/>
        <family val="0"/>
        <charset val="1"/>
      </rPr>
      <t xml:space="preserve">×2</t>
    </r>
    <r>
      <rPr>
        <sz val="11"/>
        <rFont val="Noto Sans CJK SC"/>
        <family val="2"/>
      </rPr>
      <t xml:space="preserve">タップ＝</t>
    </r>
    <r>
      <rPr>
        <sz val="11"/>
        <rFont val="Arial"/>
        <family val="0"/>
        <charset val="1"/>
      </rPr>
      <t xml:space="preserve">76</t>
    </r>
    <r>
      <rPr>
        <sz val="11"/>
        <rFont val="Noto Sans CJK SC"/>
        <family val="2"/>
      </rPr>
      <t xml:space="preserve">とした。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人掛け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台も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口ずつと仮定。</t>
    </r>
  </si>
  <si>
    <t xml:space="preserve">調査者に確認</t>
  </si>
  <si>
    <r>
      <rPr>
        <sz val="11"/>
        <rFont val="Arial"/>
        <family val="0"/>
        <charset val="1"/>
      </rPr>
      <t xml:space="preserve">21</t>
    </r>
    <r>
      <rPr>
        <sz val="11"/>
        <rFont val="Noto Sans CJK SC"/>
        <family val="2"/>
      </rPr>
      <t xml:space="preserve">号館</t>
    </r>
    <r>
      <rPr>
        <sz val="11"/>
        <rFont val="Arial"/>
        <family val="0"/>
        <charset val="1"/>
      </rPr>
      <t xml:space="preserve">4</t>
    </r>
    <r>
      <rPr>
        <sz val="11"/>
        <rFont val="Noto Sans CJK SC"/>
        <family val="2"/>
      </rPr>
      <t xml:space="preserve">件</t>
    </r>
  </si>
  <si>
    <r>
      <rPr>
        <sz val="11"/>
        <rFont val="Noto Sans CJK SC"/>
        <family val="2"/>
      </rPr>
      <t xml:space="preserve">「</t>
    </r>
    <r>
      <rPr>
        <sz val="11"/>
        <rFont val="Arial"/>
        <family val="0"/>
        <charset val="1"/>
      </rPr>
      <t xml:space="preserve">2×7</t>
    </r>
    <r>
      <rPr>
        <sz val="11"/>
        <rFont val="Noto Sans CJK SC"/>
        <family val="2"/>
      </rPr>
      <t xml:space="preserve">」を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口</t>
    </r>
    <r>
      <rPr>
        <sz val="11"/>
        <rFont val="Arial"/>
        <family val="0"/>
        <charset val="1"/>
      </rPr>
      <t xml:space="preserve">×7</t>
    </r>
    <r>
      <rPr>
        <sz val="11"/>
        <rFont val="Noto Sans CJK SC"/>
        <family val="2"/>
      </rPr>
      <t xml:space="preserve">か所＝</t>
    </r>
    <r>
      <rPr>
        <sz val="11"/>
        <rFont val="Arial"/>
        <family val="0"/>
        <charset val="1"/>
      </rPr>
      <t xml:space="preserve">14</t>
    </r>
    <r>
      <rPr>
        <sz val="11"/>
        <rFont val="Noto Sans CJK SC"/>
        <family val="2"/>
      </rPr>
      <t xml:space="preserve">口と解釈した（他も同様）。</t>
    </r>
  </si>
  <si>
    <t xml:space="preserve">S003, S004</t>
  </si>
  <si>
    <r>
      <rPr>
        <sz val="11"/>
        <rFont val="Arial"/>
        <family val="0"/>
        <charset val="1"/>
      </rPr>
      <t xml:space="preserve">21</t>
    </r>
    <r>
      <rPr>
        <sz val="11"/>
        <rFont val="Noto Sans CJK SC"/>
        <family val="2"/>
      </rPr>
      <t xml:space="preserve">号館 スタディプラザ</t>
    </r>
  </si>
  <si>
    <t xml:space="preserve">「座り心地はいい」を「クッション椅子」に分類した。</t>
  </si>
  <si>
    <t xml:space="preserve">椅子の種類を確認</t>
  </si>
  <si>
    <t xml:space="preserve">元データの「可」を「食事可」と解釈した。</t>
  </si>
  <si>
    <t xml:space="preserve">食事まで可か確認</t>
  </si>
  <si>
    <t xml:space="preserve">surveyed_at / surveyor</t>
  </si>
  <si>
    <t xml:space="preserve">調査日・調査者が未記入。</t>
  </si>
  <si>
    <t xml:space="preserve">記入</t>
  </si>
  <si>
    <t xml:space="preserve">談話室・自習室・図書館</t>
  </si>
  <si>
    <t xml:space="preserve">報告書由来の全件</t>
  </si>
  <si>
    <r>
      <rPr>
        <sz val="11"/>
        <rFont val="Noto Sans CJK SC"/>
        <family val="2"/>
      </rPr>
      <t xml:space="preserve">報告書の作成日（</t>
    </r>
    <r>
      <rPr>
        <sz val="11"/>
        <rFont val="Arial"/>
        <family val="0"/>
        <charset val="1"/>
      </rPr>
      <t xml:space="preserve">2026-09-25</t>
    </r>
    <r>
      <rPr>
        <sz val="11"/>
        <rFont val="Noto Sans CJK SC"/>
        <family val="2"/>
      </rPr>
      <t xml:space="preserve">）を調査日として入れた。</t>
    </r>
  </si>
  <si>
    <t xml:space="preserve">実際の調査日が異なれば修正</t>
  </si>
  <si>
    <t xml:space="preserve">全件</t>
  </si>
  <si>
    <t xml:space="preserve">写真が未登録。</t>
  </si>
  <si>
    <r>
      <rPr>
        <sz val="11"/>
        <rFont val="Noto Sans CJK SC"/>
        <family val="2"/>
      </rPr>
      <t xml:space="preserve">撮影してスポット</t>
    </r>
    <r>
      <rPr>
        <sz val="11"/>
        <rFont val="Arial"/>
        <family val="0"/>
        <charset val="1"/>
      </rPr>
      <t xml:space="preserve">ID</t>
    </r>
    <r>
      <rPr>
        <sz val="11"/>
        <rFont val="Noto Sans CJK SC"/>
        <family val="2"/>
      </rPr>
      <t xml:space="preserve">をファイル名に</t>
    </r>
  </si>
  <si>
    <r>
      <rPr>
        <sz val="11"/>
        <rFont val="Noto Sans CJK SC"/>
        <family val="2"/>
      </rPr>
      <t xml:space="preserve">閲覧室</t>
    </r>
    <r>
      <rPr>
        <sz val="11"/>
        <rFont val="Arial"/>
        <family val="0"/>
        <charset val="1"/>
      </rPr>
      <t xml:space="preserve">5</t>
    </r>
    <r>
      <rPr>
        <sz val="11"/>
        <rFont val="Noto Sans CJK SC"/>
        <family val="2"/>
      </rPr>
      <t xml:space="preserve">件</t>
    </r>
  </si>
  <si>
    <t xml:space="preserve">閲覧室（旧表記：談話室）</t>
  </si>
  <si>
    <r>
      <rPr>
        <sz val="11"/>
        <rFont val="Noto Sans CJK SC"/>
        <family val="2"/>
      </rPr>
      <t xml:space="preserve">これまで「談話室」としていた</t>
    </r>
    <r>
      <rPr>
        <sz val="11"/>
        <rFont val="Arial"/>
        <family val="0"/>
        <charset val="1"/>
      </rPr>
      <t xml:space="preserve">5</t>
    </r>
    <r>
      <rPr>
        <sz val="11"/>
        <rFont val="Noto Sans CJK SC"/>
        <family val="2"/>
      </rPr>
      <t xml:space="preserve">件は、正しくは閲覧室だった。談話室そのものは未調査。</t>
    </r>
  </si>
  <si>
    <t xml:space="preserve">談話室を調査対象に加えるか決める</t>
  </si>
  <si>
    <t xml:space="preserve">閲覧室</t>
  </si>
  <si>
    <t xml:space="preserve">静粛性は「通話可」のまま（佐藤：うるささは変わらない）。部屋の決まりではなく実際の様子にもとづく値。</t>
  </si>
  <si>
    <t xml:space="preserve">決まりとして会話が許されているのかを確認</t>
  </si>
  <si>
    <t xml:space="preserve">閲覧室・図書館</t>
  </si>
  <si>
    <t xml:space="preserve">椅子の分類</t>
  </si>
  <si>
    <r>
      <rPr>
        <sz val="11"/>
        <rFont val="Arial"/>
        <family val="0"/>
        <charset val="1"/>
      </rPr>
      <t xml:space="preserve">ver2</t>
    </r>
    <r>
      <rPr>
        <sz val="11"/>
        <rFont val="Noto Sans CJK SC"/>
        <family val="2"/>
      </rPr>
      <t xml:space="preserve">の記述を選択肢に当てはめた（例：「背もたれあり・普通」→通常椅子、「背もたれなし」→スツール、「ひじ掛けと小さなテーブル付き」→通常椅子、ラウンジチェア→ソファ）。元の記述は備考に残した。</t>
    </r>
  </si>
  <si>
    <t xml:space="preserve">分類がおかしければ修正</t>
  </si>
  <si>
    <t xml:space="preserve">chair_type / task_light</t>
  </si>
  <si>
    <r>
      <rPr>
        <sz val="11"/>
        <rFont val="Arial"/>
        <family val="0"/>
        <charset val="1"/>
      </rPr>
      <t xml:space="preserve">ver2</t>
    </r>
    <r>
      <rPr>
        <sz val="11"/>
        <rFont val="Noto Sans CJK SC"/>
        <family val="2"/>
      </rPr>
      <t xml:space="preserve">に自習室のシートがなく、椅子・作業灯が未調査のまま。</t>
    </r>
  </si>
  <si>
    <t xml:space="preserve">スポット数</t>
  </si>
  <si>
    <t xml:space="preserve">コンセント数</t>
  </si>
  <si>
    <t xml:space="preserve">計</t>
  </si>
  <si>
    <t xml:space="preserve">date</t>
  </si>
  <si>
    <t xml:space="preserve">weekday</t>
  </si>
  <si>
    <t xml:space="preserve">room</t>
  </si>
  <si>
    <t xml:space="preserve">start</t>
  </si>
  <si>
    <t xml:space="preserve">end</t>
  </si>
  <si>
    <t xml:space="preserve">periods</t>
  </si>
  <si>
    <t xml:space="preserve">duplicate</t>
  </si>
  <si>
    <t xml:space="preserve">日付</t>
  </si>
  <si>
    <t xml:space="preserve">曜日</t>
  </si>
  <si>
    <t xml:space="preserve">教室</t>
  </si>
  <si>
    <t xml:space="preserve">開始</t>
  </si>
  <si>
    <t xml:space="preserve">終了</t>
  </si>
  <si>
    <t xml:space="preserve">該当時限（1〜5限）</t>
  </si>
  <si>
    <t xml:space="preserve">重複予約</t>
  </si>
  <si>
    <t xml:space="preserve">対応スポット</t>
  </si>
  <si>
    <t xml:space="preserve">2026-10-02</t>
  </si>
  <si>
    <t xml:space="preserve">金</t>
  </si>
  <si>
    <t xml:space="preserve">1211</t>
  </si>
  <si>
    <t xml:space="preserve">08:50</t>
  </si>
  <si>
    <t xml:space="preserve">10:20</t>
  </si>
  <si>
    <t xml:space="preserve">1</t>
  </si>
  <si>
    <t xml:space="preserve">10:30</t>
  </si>
  <si>
    <t xml:space="preserve">12:00</t>
  </si>
  <si>
    <t xml:space="preserve">2</t>
  </si>
  <si>
    <t xml:space="preserve">18:00</t>
  </si>
  <si>
    <t xml:space="preserve">21:00</t>
  </si>
  <si>
    <r>
      <rPr>
        <sz val="11"/>
        <rFont val="Arial"/>
        <family val="0"/>
        <charset val="1"/>
      </rPr>
      <t xml:space="preserve">2131PC</t>
    </r>
    <r>
      <rPr>
        <sz val="11"/>
        <rFont val="Noto Sans CJK SC"/>
        <family val="2"/>
      </rPr>
      <t xml:space="preserve">室</t>
    </r>
  </si>
  <si>
    <t xml:space="preserve">13:00</t>
  </si>
  <si>
    <t xml:space="preserve">14:30</t>
  </si>
  <si>
    <t xml:space="preserve">3</t>
  </si>
  <si>
    <t xml:space="preserve">14:40</t>
  </si>
  <si>
    <t xml:space="preserve">16:10</t>
  </si>
  <si>
    <t xml:space="preserve">4</t>
  </si>
  <si>
    <t xml:space="preserve">16:20</t>
  </si>
  <si>
    <t xml:space="preserve">17:50</t>
  </si>
  <si>
    <t xml:space="preserve">5</t>
  </si>
  <si>
    <t xml:space="preserve">18:10</t>
  </si>
  <si>
    <t xml:space="preserve">19:40</t>
  </si>
  <si>
    <r>
      <rPr>
        <sz val="11"/>
        <rFont val="Arial"/>
        <family val="0"/>
        <charset val="1"/>
      </rPr>
      <t xml:space="preserve">232PC</t>
    </r>
    <r>
      <rPr>
        <sz val="11"/>
        <rFont val="Noto Sans CJK SC"/>
        <family val="2"/>
      </rPr>
      <t xml:space="preserve">室</t>
    </r>
  </si>
  <si>
    <t xml:space="preserve">444</t>
  </si>
  <si>
    <t xml:space="preserve">445</t>
  </si>
  <si>
    <r>
      <rPr>
        <sz val="11"/>
        <rFont val="Arial"/>
        <family val="0"/>
        <charset val="1"/>
      </rPr>
      <t xml:space="preserve">611PC</t>
    </r>
    <r>
      <rPr>
        <sz val="11"/>
        <rFont val="Noto Sans CJK SC"/>
        <family val="2"/>
      </rPr>
      <t xml:space="preserve">室</t>
    </r>
  </si>
  <si>
    <t xml:space="preserve">15:20</t>
  </si>
  <si>
    <r>
      <rPr>
        <sz val="11"/>
        <rFont val="Arial"/>
        <family val="0"/>
        <charset val="1"/>
      </rPr>
      <t xml:space="preserve">612PC</t>
    </r>
    <r>
      <rPr>
        <sz val="11"/>
        <rFont val="Noto Sans CJK SC"/>
        <family val="2"/>
      </rPr>
      <t xml:space="preserve">室</t>
    </r>
  </si>
  <si>
    <t xml:space="preserve">15:30</t>
  </si>
  <si>
    <t xml:space="preserve">7401</t>
  </si>
  <si>
    <t xml:space="preserve">7403</t>
  </si>
  <si>
    <t xml:space="preserve">7404</t>
  </si>
  <si>
    <t xml:space="preserve">1,2</t>
  </si>
  <si>
    <t xml:space="preserve">7405</t>
  </si>
  <si>
    <t xml:space="preserve">4,5</t>
  </si>
  <si>
    <t xml:space="preserve">7407</t>
  </si>
  <si>
    <t xml:space="preserve">7411</t>
  </si>
  <si>
    <t xml:space="preserve">1,2,3,4,5</t>
  </si>
  <si>
    <t xml:space="preserve">K101</t>
  </si>
  <si>
    <t xml:space="preserve">K102</t>
  </si>
  <si>
    <t xml:space="preserve">18:25</t>
  </si>
  <si>
    <t xml:space="preserve">K103</t>
  </si>
  <si>
    <t xml:space="preserve">K201</t>
  </si>
  <si>
    <t xml:space="preserve">K202</t>
  </si>
  <si>
    <t xml:space="preserve">K203</t>
  </si>
  <si>
    <t xml:space="preserve">K204</t>
  </si>
  <si>
    <t xml:space="preserve">K205</t>
  </si>
  <si>
    <t xml:space="preserve">K206</t>
  </si>
  <si>
    <t xml:space="preserve">K207</t>
  </si>
  <si>
    <t xml:space="preserve">K209</t>
  </si>
  <si>
    <t xml:space="preserve">07:00</t>
  </si>
  <si>
    <t xml:space="preserve">23:00</t>
  </si>
  <si>
    <t xml:space="preserve">K210</t>
  </si>
  <si>
    <t xml:space="preserve">K301</t>
  </si>
  <si>
    <t xml:space="preserve">K302</t>
  </si>
  <si>
    <t xml:space="preserve">K303</t>
  </si>
  <si>
    <t xml:space="preserve">K304</t>
  </si>
  <si>
    <t xml:space="preserve">K305</t>
  </si>
  <si>
    <t xml:space="preserve">K306</t>
  </si>
  <si>
    <t xml:space="preserve">K307</t>
  </si>
  <si>
    <t xml:space="preserve">K308</t>
  </si>
  <si>
    <t xml:space="preserve">K309</t>
  </si>
  <si>
    <t xml:space="preserve">K310</t>
  </si>
  <si>
    <t xml:space="preserve">K401</t>
  </si>
  <si>
    <t xml:space="preserve">K402</t>
  </si>
  <si>
    <t xml:space="preserve">K403</t>
  </si>
  <si>
    <t xml:space="preserve">K404</t>
  </si>
  <si>
    <t xml:space="preserve">K405</t>
  </si>
  <si>
    <t xml:space="preserve">K406</t>
  </si>
  <si>
    <t xml:space="preserve">K407</t>
  </si>
  <si>
    <t xml:space="preserve">K408</t>
  </si>
  <si>
    <t xml:space="preserve">K409</t>
  </si>
  <si>
    <t xml:space="preserve">10:00</t>
  </si>
  <si>
    <t xml:space="preserve">12:30</t>
  </si>
  <si>
    <t xml:space="preserve">K410</t>
  </si>
  <si>
    <t xml:space="preserve">16:30</t>
  </si>
  <si>
    <t xml:space="preserve">3,4,5</t>
  </si>
  <si>
    <t xml:space="preserve">K510</t>
  </si>
  <si>
    <t xml:space="preserve">17:00</t>
  </si>
  <si>
    <t xml:space="preserve">出典：CLASS 教室利用状況表（指定期間 2026/10/02(金)、2026/10/01 17:37 出力）。</t>
  </si>
  <si>
    <t xml:space="preserve">この表に載っていない教室は、その日は予約なし（例：K601・K602は終日予約なし）。</t>
  </si>
  <si>
    <t xml:space="preserve">該当時限は 1限08:50-10:20／2限10:30-12:00／3限13:00-14:30／4限14:40-16:10／5限16:20-17:50 と重なるかで判定。6限以降の時刻は未確認のため空欄。</t>
  </si>
  <si>
    <t xml:space="preserve">同じ教室・同じ時間の重複予約は1行にまとめ、「重複予約」列に印を付けた。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</si>
</sst>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  <charset val="1"/>
    </font>
    <font>
      <sz val="11"/>
      <name val="Arial"/>
      <family val="0"/>
      <charset val="1"/>
    </font>
    <font>
      <sz val="11"/>
      <name val="Noto Sans CJK SC"/>
      <family val="2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95959"/>
      <name val="Noto Sans CJK SC"/>
      <family val="2"/>
      <charset val="1"/>
    </font>
    <font>
      <sz val="11"/>
      <name val="Noto Sans CJK SC"/>
      <family val="2"/>
    </font>
    <font>
      <sz val="10"/>
      <name val="Noto Sans CJK SC"/>
      <family val="2"/>
    </font>
    <font>
      <sz val="10"/>
      <name val="Arial"/>
      <family val="2"/>
    </font>
    <font>
      <i val="true"/>
      <sz val="9"/>
      <color rgb="FF595959"/>
      <name val="Noto Sans CJK SC"/>
      <family val="2"/>
    </font>
    <font>
      <b val="true"/>
      <sz val="11"/>
      <color rgb="FFFFFFFF"/>
      <name val="Noto Sans CJK SC"/>
      <family val="2"/>
      <charset val="1"/>
    </font>
    <font>
      <b val="true"/>
      <sz val="11"/>
      <name val="Noto Sans CJK SC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DEDED"/>
        <bgColor rgb="FFFFF2CC"/>
      </patternFill>
    </fill>
    <fill>
      <patternFill patternType="solid">
        <fgColor rgb="FFFFF2CC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6.5" hidden="false" customHeight="true" outlineLevel="0" collapsed="false">
      <c r="A3" s="4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4" t="s">
        <v>3</v>
      </c>
    </row>
    <row r="6" customFormat="false" ht="15" hidden="false" customHeight="true" outlineLevel="0" collapsed="false">
      <c r="A6" s="4" t="s">
        <v>4</v>
      </c>
    </row>
    <row r="7" customFormat="false" ht="15" hidden="false" customHeight="true" outlineLevel="0" collapsed="false">
      <c r="A7" s="4" t="s">
        <v>5</v>
      </c>
    </row>
    <row r="8" customFormat="false" ht="16.5" hidden="false" customHeight="true" outlineLevel="0" collapsed="false">
      <c r="A8" s="4" t="s">
        <v>6</v>
      </c>
    </row>
    <row r="9" customFormat="false" ht="15" hidden="false" customHeight="true" outlineLevel="0" collapsed="false">
      <c r="A9" s="4" t="s">
        <v>7</v>
      </c>
    </row>
    <row r="10" customFormat="false" ht="16.5" hidden="false" customHeight="true" outlineLevel="0" collapsed="false">
      <c r="A10" s="4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0"/>
    <col collapsed="false" customWidth="true" hidden="false" outlineLevel="0" max="3" min="3" style="1" width="5"/>
    <col collapsed="false" customWidth="true" hidden="false" outlineLevel="0" max="4" min="4" style="1" width="30"/>
    <col collapsed="false" customWidth="true" hidden="false" outlineLevel="0" max="5" min="5" style="1" width="8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9"/>
    <col collapsed="false" customWidth="true" hidden="false" outlineLevel="0" max="9" min="9" style="1" width="10"/>
    <col collapsed="false" customWidth="true" hidden="false" outlineLevel="0" max="10" min="10" style="1" width="11"/>
    <col collapsed="false" customWidth="true" hidden="false" outlineLevel="0" max="11" min="11" style="1" width="8"/>
    <col collapsed="false" customWidth="true" hidden="false" outlineLevel="0" max="12" min="12" style="1" width="24"/>
    <col collapsed="false" customWidth="true" hidden="false" outlineLevel="0" max="13" min="13" style="1" width="48"/>
    <col collapsed="false" customWidth="true" hidden="false" outlineLevel="0" max="14" min="14" style="1" width="10"/>
    <col collapsed="false" customWidth="true" hidden="false" outlineLevel="0" max="15" min="15" style="1" width="12"/>
    <col collapsed="false" customWidth="true" hidden="false" outlineLevel="0" max="16" min="16" style="1" width="9"/>
    <col collapsed="false" customWidth="true" hidden="false" outlineLevel="0" max="17" min="17" style="1" width="22"/>
    <col collapsed="false" customWidth="true" hidden="false" outlineLevel="0" max="18" min="18" style="1" width="12"/>
  </cols>
  <sheetData>
    <row r="1" customFormat="false" ht="15" hidden="false" customHeight="true" outlineLevel="0" collapsed="false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  <c r="K1" s="5" t="s">
        <v>19</v>
      </c>
      <c r="L1" s="5" t="s">
        <v>20</v>
      </c>
      <c r="M1" s="5" t="s">
        <v>21</v>
      </c>
      <c r="N1" s="5" t="s">
        <v>22</v>
      </c>
      <c r="O1" s="5" t="s">
        <v>23</v>
      </c>
      <c r="P1" s="5" t="s">
        <v>24</v>
      </c>
      <c r="Q1" s="5" t="s">
        <v>25</v>
      </c>
      <c r="R1" s="5" t="s">
        <v>26</v>
      </c>
    </row>
    <row r="2" customFormat="false" ht="39" hidden="false" customHeight="true" outlineLevel="0" collapsed="false">
      <c r="A2" s="6" t="s">
        <v>27</v>
      </c>
      <c r="B2" s="6" t="s">
        <v>28</v>
      </c>
      <c r="C2" s="6" t="s">
        <v>29</v>
      </c>
      <c r="D2" s="6" t="s">
        <v>30</v>
      </c>
      <c r="E2" s="6" t="s">
        <v>31</v>
      </c>
      <c r="F2" s="6" t="s">
        <v>32</v>
      </c>
      <c r="G2" s="6" t="s">
        <v>33</v>
      </c>
      <c r="H2" s="6" t="s">
        <v>34</v>
      </c>
      <c r="I2" s="6" t="s">
        <v>35</v>
      </c>
      <c r="J2" s="6" t="s">
        <v>36</v>
      </c>
      <c r="K2" s="6" t="s">
        <v>37</v>
      </c>
      <c r="L2" s="6" t="s">
        <v>38</v>
      </c>
      <c r="M2" s="6" t="s">
        <v>39</v>
      </c>
      <c r="N2" s="6" t="s">
        <v>40</v>
      </c>
      <c r="O2" s="6" t="s">
        <v>41</v>
      </c>
      <c r="P2" s="6" t="s">
        <v>42</v>
      </c>
      <c r="Q2" s="6" t="s">
        <v>43</v>
      </c>
      <c r="R2" s="6" t="s">
        <v>44</v>
      </c>
    </row>
    <row r="3" customFormat="false" ht="32.25" hidden="false" customHeight="true" outlineLevel="0" collapsed="false">
      <c r="A3" s="7" t="s">
        <v>45</v>
      </c>
      <c r="B3" s="7" t="s">
        <v>46</v>
      </c>
      <c r="C3" s="7" t="n">
        <v>1</v>
      </c>
      <c r="D3" s="8" t="s">
        <v>47</v>
      </c>
      <c r="E3" s="7" t="n">
        <v>44</v>
      </c>
      <c r="F3" s="7" t="n">
        <v>14</v>
      </c>
      <c r="G3" s="9" t="s">
        <v>48</v>
      </c>
      <c r="H3" s="9" t="s">
        <v>49</v>
      </c>
      <c r="I3" s="9" t="s">
        <v>50</v>
      </c>
      <c r="J3" s="9" t="s">
        <v>51</v>
      </c>
      <c r="K3" s="10" t="s">
        <v>52</v>
      </c>
      <c r="L3" s="8" t="s">
        <v>53</v>
      </c>
      <c r="M3" s="11" t="s">
        <v>54</v>
      </c>
      <c r="N3" s="7"/>
      <c r="O3" s="12"/>
      <c r="P3" s="12"/>
      <c r="Q3" s="7" t="s">
        <v>55</v>
      </c>
      <c r="R3" s="13" t="n">
        <f aca="false">IF(AND(ISNUMBER(E3),ISNUMBER(F3),E3&gt;0),F3/E3,"")</f>
        <v>0.318181818181818</v>
      </c>
    </row>
    <row r="4" customFormat="false" ht="48" hidden="false" customHeight="true" outlineLevel="0" collapsed="false">
      <c r="A4" s="7" t="s">
        <v>56</v>
      </c>
      <c r="B4" s="7" t="s">
        <v>46</v>
      </c>
      <c r="C4" s="7" t="n">
        <v>2</v>
      </c>
      <c r="D4" s="8" t="s">
        <v>57</v>
      </c>
      <c r="E4" s="7" t="n">
        <v>20</v>
      </c>
      <c r="F4" s="7" t="n">
        <v>8</v>
      </c>
      <c r="G4" s="9" t="s">
        <v>58</v>
      </c>
      <c r="H4" s="9" t="s">
        <v>59</v>
      </c>
      <c r="I4" s="9" t="s">
        <v>50</v>
      </c>
      <c r="J4" s="9" t="s">
        <v>51</v>
      </c>
      <c r="K4" s="10" t="s">
        <v>52</v>
      </c>
      <c r="L4" s="8" t="s">
        <v>60</v>
      </c>
      <c r="M4" s="8" t="s">
        <v>61</v>
      </c>
      <c r="N4" s="7"/>
      <c r="O4" s="12"/>
      <c r="P4" s="12"/>
      <c r="Q4" s="7" t="s">
        <v>55</v>
      </c>
      <c r="R4" s="13" t="n">
        <f aca="false">IF(AND(ISNUMBER(E4),ISNUMBER(F4),E4&gt;0),F4/E4,"")</f>
        <v>0.4</v>
      </c>
    </row>
    <row r="5" customFormat="false" ht="32.25" hidden="false" customHeight="true" outlineLevel="0" collapsed="false">
      <c r="A5" s="7" t="s">
        <v>62</v>
      </c>
      <c r="B5" s="7" t="s">
        <v>46</v>
      </c>
      <c r="C5" s="7" t="n">
        <v>3</v>
      </c>
      <c r="D5" s="8" t="s">
        <v>63</v>
      </c>
      <c r="E5" s="7" t="n">
        <v>10</v>
      </c>
      <c r="F5" s="7" t="n">
        <v>8</v>
      </c>
      <c r="G5" s="9" t="s">
        <v>64</v>
      </c>
      <c r="H5" s="9" t="s">
        <v>49</v>
      </c>
      <c r="I5" s="9" t="s">
        <v>50</v>
      </c>
      <c r="J5" s="9" t="s">
        <v>65</v>
      </c>
      <c r="K5" s="10" t="s">
        <v>52</v>
      </c>
      <c r="L5" s="8" t="s">
        <v>66</v>
      </c>
      <c r="M5" s="11" t="s">
        <v>67</v>
      </c>
      <c r="N5" s="7"/>
      <c r="O5" s="12"/>
      <c r="P5" s="12"/>
      <c r="Q5" s="7" t="s">
        <v>55</v>
      </c>
      <c r="R5" s="13" t="n">
        <f aca="false">IF(AND(ISNUMBER(E5),ISNUMBER(F5),E5&gt;0),F5/E5,"")</f>
        <v>0.8</v>
      </c>
    </row>
    <row r="6" customFormat="false" ht="32.25" hidden="false" customHeight="true" outlineLevel="0" collapsed="false">
      <c r="A6" s="7" t="s">
        <v>68</v>
      </c>
      <c r="B6" s="7" t="s">
        <v>46</v>
      </c>
      <c r="C6" s="7" t="n">
        <v>3</v>
      </c>
      <c r="D6" s="8" t="s">
        <v>69</v>
      </c>
      <c r="E6" s="7" t="n">
        <v>18</v>
      </c>
      <c r="F6" s="7" t="n">
        <v>12</v>
      </c>
      <c r="G6" s="9" t="s">
        <v>64</v>
      </c>
      <c r="H6" s="9" t="s">
        <v>49</v>
      </c>
      <c r="I6" s="9" t="s">
        <v>50</v>
      </c>
      <c r="J6" s="9" t="s">
        <v>65</v>
      </c>
      <c r="K6" s="10" t="s">
        <v>52</v>
      </c>
      <c r="L6" s="8" t="s">
        <v>70</v>
      </c>
      <c r="M6" s="11" t="s">
        <v>71</v>
      </c>
      <c r="N6" s="7"/>
      <c r="O6" s="12"/>
      <c r="P6" s="12"/>
      <c r="Q6" s="7" t="s">
        <v>55</v>
      </c>
      <c r="R6" s="13" t="n">
        <f aca="false">IF(AND(ISNUMBER(E6),ISNUMBER(F6),E6&gt;0),F6/E6,"")</f>
        <v>0.666666666666667</v>
      </c>
    </row>
    <row r="7" customFormat="false" ht="16.5" hidden="false" customHeight="true" outlineLevel="0" collapsed="false">
      <c r="A7" s="7" t="s">
        <v>72</v>
      </c>
      <c r="B7" s="9" t="s">
        <v>73</v>
      </c>
      <c r="C7" s="7" t="n">
        <v>5</v>
      </c>
      <c r="D7" s="11" t="s">
        <v>74</v>
      </c>
      <c r="E7" s="7" t="n">
        <v>142</v>
      </c>
      <c r="F7" s="7" t="n">
        <v>10</v>
      </c>
      <c r="G7" s="9" t="s">
        <v>48</v>
      </c>
      <c r="H7" s="9" t="s">
        <v>49</v>
      </c>
      <c r="I7" s="9" t="s">
        <v>75</v>
      </c>
      <c r="J7" s="9" t="s">
        <v>51</v>
      </c>
      <c r="K7" s="10" t="s">
        <v>52</v>
      </c>
      <c r="L7" s="11"/>
      <c r="M7" s="8" t="s">
        <v>76</v>
      </c>
      <c r="N7" s="7"/>
      <c r="O7" s="12"/>
      <c r="P7" s="12"/>
      <c r="Q7" s="9" t="s">
        <v>77</v>
      </c>
      <c r="R7" s="13" t="n">
        <f aca="false">IF(AND(ISNUMBER(E7),ISNUMBER(F7),E7&gt;0),F7/E7,"")</f>
        <v>0.0704225352112676</v>
      </c>
    </row>
    <row r="8" customFormat="false" ht="16.5" hidden="false" customHeight="true" outlineLevel="0" collapsed="false">
      <c r="A8" s="7" t="s">
        <v>78</v>
      </c>
      <c r="B8" s="9" t="s">
        <v>73</v>
      </c>
      <c r="C8" s="7" t="n">
        <v>5</v>
      </c>
      <c r="D8" s="11" t="s">
        <v>79</v>
      </c>
      <c r="E8" s="7" t="n">
        <v>142</v>
      </c>
      <c r="F8" s="7" t="n">
        <v>10</v>
      </c>
      <c r="G8" s="9" t="s">
        <v>48</v>
      </c>
      <c r="H8" s="9" t="s">
        <v>49</v>
      </c>
      <c r="I8" s="9" t="s">
        <v>75</v>
      </c>
      <c r="J8" s="9" t="s">
        <v>51</v>
      </c>
      <c r="K8" s="10" t="s">
        <v>52</v>
      </c>
      <c r="L8" s="11"/>
      <c r="M8" s="8" t="s">
        <v>76</v>
      </c>
      <c r="N8" s="7"/>
      <c r="O8" s="12"/>
      <c r="P8" s="12"/>
      <c r="Q8" s="9" t="s">
        <v>77</v>
      </c>
      <c r="R8" s="13" t="n">
        <f aca="false">IF(AND(ISNUMBER(E8),ISNUMBER(F8),E8&gt;0),F8/E8,"")</f>
        <v>0.0704225352112676</v>
      </c>
    </row>
    <row r="9" customFormat="false" ht="16.5" hidden="false" customHeight="true" outlineLevel="0" collapsed="false">
      <c r="A9" s="7" t="s">
        <v>80</v>
      </c>
      <c r="B9" s="9" t="s">
        <v>73</v>
      </c>
      <c r="C9" s="7" t="n">
        <v>5</v>
      </c>
      <c r="D9" s="11" t="s">
        <v>81</v>
      </c>
      <c r="E9" s="7" t="n">
        <v>178</v>
      </c>
      <c r="F9" s="7" t="n">
        <v>10</v>
      </c>
      <c r="G9" s="9" t="s">
        <v>48</v>
      </c>
      <c r="H9" s="9" t="s">
        <v>49</v>
      </c>
      <c r="I9" s="9" t="s">
        <v>75</v>
      </c>
      <c r="J9" s="9" t="s">
        <v>51</v>
      </c>
      <c r="K9" s="10" t="s">
        <v>52</v>
      </c>
      <c r="L9" s="11"/>
      <c r="M9" s="8" t="s">
        <v>76</v>
      </c>
      <c r="N9" s="7"/>
      <c r="O9" s="12"/>
      <c r="P9" s="12"/>
      <c r="Q9" s="9" t="s">
        <v>77</v>
      </c>
      <c r="R9" s="13" t="n">
        <f aca="false">IF(AND(ISNUMBER(E9),ISNUMBER(F9),E9&gt;0),F9/E9,"")</f>
        <v>0.0561797752808989</v>
      </c>
    </row>
    <row r="10" customFormat="false" ht="16.5" hidden="false" customHeight="true" outlineLevel="0" collapsed="false">
      <c r="A10" s="7" t="s">
        <v>82</v>
      </c>
      <c r="B10" s="9" t="s">
        <v>73</v>
      </c>
      <c r="C10" s="7" t="n">
        <v>5</v>
      </c>
      <c r="D10" s="11" t="s">
        <v>83</v>
      </c>
      <c r="E10" s="7" t="n">
        <v>178</v>
      </c>
      <c r="F10" s="7" t="n">
        <v>10</v>
      </c>
      <c r="G10" s="9" t="s">
        <v>48</v>
      </c>
      <c r="H10" s="9" t="s">
        <v>49</v>
      </c>
      <c r="I10" s="9" t="s">
        <v>75</v>
      </c>
      <c r="J10" s="9" t="s">
        <v>51</v>
      </c>
      <c r="K10" s="10" t="s">
        <v>52</v>
      </c>
      <c r="L10" s="11"/>
      <c r="M10" s="8" t="s">
        <v>76</v>
      </c>
      <c r="N10" s="7"/>
      <c r="O10" s="12"/>
      <c r="P10" s="12"/>
      <c r="Q10" s="9" t="s">
        <v>77</v>
      </c>
      <c r="R10" s="13" t="n">
        <f aca="false">IF(AND(ISNUMBER(E10),ISNUMBER(F10),E10&gt;0),F10/E10,"")</f>
        <v>0.0561797752808989</v>
      </c>
    </row>
    <row r="11" customFormat="false" ht="16.5" hidden="false" customHeight="true" outlineLevel="0" collapsed="false">
      <c r="A11" s="7" t="s">
        <v>84</v>
      </c>
      <c r="B11" s="9" t="s">
        <v>73</v>
      </c>
      <c r="C11" s="7" t="n">
        <v>5</v>
      </c>
      <c r="D11" s="11" t="s">
        <v>85</v>
      </c>
      <c r="E11" s="7" t="n">
        <v>178</v>
      </c>
      <c r="F11" s="7" t="n">
        <v>10</v>
      </c>
      <c r="G11" s="9" t="s">
        <v>48</v>
      </c>
      <c r="H11" s="9" t="s">
        <v>49</v>
      </c>
      <c r="I11" s="9" t="s">
        <v>75</v>
      </c>
      <c r="J11" s="9" t="s">
        <v>51</v>
      </c>
      <c r="K11" s="10" t="s">
        <v>52</v>
      </c>
      <c r="L11" s="11"/>
      <c r="M11" s="8" t="s">
        <v>76</v>
      </c>
      <c r="N11" s="7"/>
      <c r="O11" s="12"/>
      <c r="P11" s="12"/>
      <c r="Q11" s="9" t="s">
        <v>77</v>
      </c>
      <c r="R11" s="13" t="n">
        <f aca="false">IF(AND(ISNUMBER(E11),ISNUMBER(F11),E11&gt;0),F11/E11,"")</f>
        <v>0.0561797752808989</v>
      </c>
    </row>
    <row r="12" customFormat="false" ht="16.5" hidden="false" customHeight="true" outlineLevel="0" collapsed="false">
      <c r="A12" s="7" t="s">
        <v>86</v>
      </c>
      <c r="B12" s="9" t="s">
        <v>73</v>
      </c>
      <c r="C12" s="7" t="n">
        <v>5</v>
      </c>
      <c r="D12" s="11" t="s">
        <v>87</v>
      </c>
      <c r="E12" s="7" t="n">
        <v>178</v>
      </c>
      <c r="F12" s="7" t="n">
        <v>10</v>
      </c>
      <c r="G12" s="9" t="s">
        <v>48</v>
      </c>
      <c r="H12" s="9" t="s">
        <v>49</v>
      </c>
      <c r="I12" s="9" t="s">
        <v>75</v>
      </c>
      <c r="J12" s="9" t="s">
        <v>51</v>
      </c>
      <c r="K12" s="10" t="s">
        <v>52</v>
      </c>
      <c r="L12" s="11"/>
      <c r="M12" s="8" t="s">
        <v>76</v>
      </c>
      <c r="N12" s="7"/>
      <c r="O12" s="12"/>
      <c r="P12" s="12"/>
      <c r="Q12" s="9" t="s">
        <v>77</v>
      </c>
      <c r="R12" s="13" t="n">
        <f aca="false">IF(AND(ISNUMBER(E12),ISNUMBER(F12),E12&gt;0),F12/E12,"")</f>
        <v>0.0561797752808989</v>
      </c>
    </row>
    <row r="13" customFormat="false" ht="16.5" hidden="false" customHeight="true" outlineLevel="0" collapsed="false">
      <c r="A13" s="7" t="s">
        <v>88</v>
      </c>
      <c r="B13" s="9" t="s">
        <v>73</v>
      </c>
      <c r="C13" s="7" t="n">
        <v>5</v>
      </c>
      <c r="D13" s="11" t="s">
        <v>89</v>
      </c>
      <c r="E13" s="7" t="n">
        <v>94</v>
      </c>
      <c r="F13" s="7" t="n">
        <v>10</v>
      </c>
      <c r="G13" s="9" t="s">
        <v>48</v>
      </c>
      <c r="H13" s="9" t="s">
        <v>49</v>
      </c>
      <c r="I13" s="9" t="s">
        <v>75</v>
      </c>
      <c r="J13" s="9" t="s">
        <v>51</v>
      </c>
      <c r="K13" s="10" t="s">
        <v>52</v>
      </c>
      <c r="L13" s="11"/>
      <c r="M13" s="8" t="s">
        <v>76</v>
      </c>
      <c r="N13" s="7"/>
      <c r="O13" s="12"/>
      <c r="P13" s="12"/>
      <c r="Q13" s="9" t="s">
        <v>77</v>
      </c>
      <c r="R13" s="13" t="n">
        <f aca="false">IF(AND(ISNUMBER(E13),ISNUMBER(F13),E13&gt;0),F13/E13,"")</f>
        <v>0.106382978723404</v>
      </c>
    </row>
    <row r="14" customFormat="false" ht="16.5" hidden="false" customHeight="true" outlineLevel="0" collapsed="false">
      <c r="A14" s="7" t="s">
        <v>90</v>
      </c>
      <c r="B14" s="9" t="s">
        <v>73</v>
      </c>
      <c r="C14" s="7" t="n">
        <v>5</v>
      </c>
      <c r="D14" s="11" t="s">
        <v>91</v>
      </c>
      <c r="E14" s="7" t="n">
        <v>94</v>
      </c>
      <c r="F14" s="7" t="n">
        <v>10</v>
      </c>
      <c r="G14" s="9" t="s">
        <v>48</v>
      </c>
      <c r="H14" s="9" t="s">
        <v>49</v>
      </c>
      <c r="I14" s="9" t="s">
        <v>75</v>
      </c>
      <c r="J14" s="9" t="s">
        <v>51</v>
      </c>
      <c r="K14" s="10" t="s">
        <v>52</v>
      </c>
      <c r="L14" s="11"/>
      <c r="M14" s="8" t="s">
        <v>76</v>
      </c>
      <c r="N14" s="7"/>
      <c r="O14" s="12"/>
      <c r="P14" s="12"/>
      <c r="Q14" s="9" t="s">
        <v>77</v>
      </c>
      <c r="R14" s="13" t="n">
        <f aca="false">IF(AND(ISNUMBER(E14),ISNUMBER(F14),E14&gt;0),F14/E14,"")</f>
        <v>0.106382978723404</v>
      </c>
    </row>
    <row r="15" customFormat="false" ht="16.5" hidden="false" customHeight="true" outlineLevel="0" collapsed="false">
      <c r="A15" s="7" t="s">
        <v>92</v>
      </c>
      <c r="B15" s="9" t="s">
        <v>73</v>
      </c>
      <c r="C15" s="7" t="n">
        <v>5</v>
      </c>
      <c r="D15" s="11" t="s">
        <v>93</v>
      </c>
      <c r="E15" s="7" t="n">
        <v>94</v>
      </c>
      <c r="F15" s="7" t="n">
        <v>10</v>
      </c>
      <c r="G15" s="9" t="s">
        <v>48</v>
      </c>
      <c r="H15" s="9" t="s">
        <v>49</v>
      </c>
      <c r="I15" s="9" t="s">
        <v>75</v>
      </c>
      <c r="J15" s="9" t="s">
        <v>51</v>
      </c>
      <c r="K15" s="10" t="s">
        <v>52</v>
      </c>
      <c r="L15" s="11"/>
      <c r="M15" s="8" t="s">
        <v>76</v>
      </c>
      <c r="N15" s="7"/>
      <c r="O15" s="12"/>
      <c r="P15" s="12"/>
      <c r="Q15" s="9" t="s">
        <v>77</v>
      </c>
      <c r="R15" s="13" t="n">
        <f aca="false">IF(AND(ISNUMBER(E15),ISNUMBER(F15),E15&gt;0),F15/E15,"")</f>
        <v>0.106382978723404</v>
      </c>
    </row>
    <row r="16" customFormat="false" ht="16.5" hidden="false" customHeight="true" outlineLevel="0" collapsed="false">
      <c r="A16" s="7" t="s">
        <v>94</v>
      </c>
      <c r="B16" s="9" t="s">
        <v>73</v>
      </c>
      <c r="C16" s="7" t="n">
        <v>6</v>
      </c>
      <c r="D16" s="11" t="s">
        <v>95</v>
      </c>
      <c r="E16" s="7" t="n">
        <v>142</v>
      </c>
      <c r="F16" s="7" t="n">
        <v>10</v>
      </c>
      <c r="G16" s="9" t="s">
        <v>48</v>
      </c>
      <c r="H16" s="9" t="s">
        <v>49</v>
      </c>
      <c r="I16" s="9" t="s">
        <v>75</v>
      </c>
      <c r="J16" s="9" t="s">
        <v>51</v>
      </c>
      <c r="K16" s="10" t="s">
        <v>52</v>
      </c>
      <c r="L16" s="11"/>
      <c r="M16" s="8" t="s">
        <v>76</v>
      </c>
      <c r="N16" s="7"/>
      <c r="O16" s="12"/>
      <c r="P16" s="12"/>
      <c r="Q16" s="9" t="s">
        <v>77</v>
      </c>
      <c r="R16" s="13" t="n">
        <f aca="false">IF(AND(ISNUMBER(E16),ISNUMBER(F16),E16&gt;0),F16/E16,"")</f>
        <v>0.0704225352112676</v>
      </c>
    </row>
    <row r="17" customFormat="false" ht="16.5" hidden="false" customHeight="true" outlineLevel="0" collapsed="false">
      <c r="A17" s="7" t="s">
        <v>96</v>
      </c>
      <c r="B17" s="9" t="s">
        <v>73</v>
      </c>
      <c r="C17" s="7" t="n">
        <v>6</v>
      </c>
      <c r="D17" s="11" t="s">
        <v>97</v>
      </c>
      <c r="E17" s="7" t="n">
        <v>178</v>
      </c>
      <c r="F17" s="7" t="n">
        <v>10</v>
      </c>
      <c r="G17" s="9" t="s">
        <v>48</v>
      </c>
      <c r="H17" s="9" t="s">
        <v>49</v>
      </c>
      <c r="I17" s="9" t="s">
        <v>75</v>
      </c>
      <c r="J17" s="9" t="s">
        <v>51</v>
      </c>
      <c r="K17" s="10" t="s">
        <v>52</v>
      </c>
      <c r="L17" s="11"/>
      <c r="M17" s="8" t="s">
        <v>76</v>
      </c>
      <c r="N17" s="7"/>
      <c r="O17" s="12"/>
      <c r="P17" s="12"/>
      <c r="Q17" s="9" t="s">
        <v>77</v>
      </c>
      <c r="R17" s="13" t="n">
        <f aca="false">IF(AND(ISNUMBER(E17),ISNUMBER(F17),E17&gt;0),F17/E17,"")</f>
        <v>0.0561797752808989</v>
      </c>
    </row>
    <row r="18" customFormat="false" ht="16.5" hidden="false" customHeight="true" outlineLevel="0" collapsed="false">
      <c r="A18" s="7" t="s">
        <v>98</v>
      </c>
      <c r="B18" s="9" t="s">
        <v>73</v>
      </c>
      <c r="C18" s="7" t="n">
        <v>6</v>
      </c>
      <c r="D18" s="11" t="s">
        <v>99</v>
      </c>
      <c r="E18" s="7" t="n">
        <v>178</v>
      </c>
      <c r="F18" s="7" t="n">
        <v>10</v>
      </c>
      <c r="G18" s="9" t="s">
        <v>48</v>
      </c>
      <c r="H18" s="9" t="s">
        <v>49</v>
      </c>
      <c r="I18" s="9" t="s">
        <v>75</v>
      </c>
      <c r="J18" s="9" t="s">
        <v>51</v>
      </c>
      <c r="K18" s="10" t="s">
        <v>52</v>
      </c>
      <c r="L18" s="11"/>
      <c r="M18" s="8" t="s">
        <v>76</v>
      </c>
      <c r="N18" s="7"/>
      <c r="O18" s="12"/>
      <c r="P18" s="12"/>
      <c r="Q18" s="9" t="s">
        <v>77</v>
      </c>
      <c r="R18" s="13" t="n">
        <f aca="false">IF(AND(ISNUMBER(E18),ISNUMBER(F18),E18&gt;0),F18/E18,"")</f>
        <v>0.0561797752808989</v>
      </c>
    </row>
    <row r="19" customFormat="false" ht="16.5" hidden="false" customHeight="true" outlineLevel="0" collapsed="false">
      <c r="A19" s="7" t="s">
        <v>100</v>
      </c>
      <c r="B19" s="9" t="s">
        <v>73</v>
      </c>
      <c r="C19" s="7" t="n">
        <v>6</v>
      </c>
      <c r="D19" s="11" t="s">
        <v>101</v>
      </c>
      <c r="E19" s="7" t="n">
        <v>178</v>
      </c>
      <c r="F19" s="7" t="n">
        <v>10</v>
      </c>
      <c r="G19" s="9" t="s">
        <v>48</v>
      </c>
      <c r="H19" s="9" t="s">
        <v>49</v>
      </c>
      <c r="I19" s="9" t="s">
        <v>75</v>
      </c>
      <c r="J19" s="9" t="s">
        <v>51</v>
      </c>
      <c r="K19" s="10" t="s">
        <v>52</v>
      </c>
      <c r="L19" s="11"/>
      <c r="M19" s="8" t="s">
        <v>76</v>
      </c>
      <c r="N19" s="7"/>
      <c r="O19" s="12"/>
      <c r="P19" s="12"/>
      <c r="Q19" s="9" t="s">
        <v>77</v>
      </c>
      <c r="R19" s="13" t="n">
        <f aca="false">IF(AND(ISNUMBER(E19),ISNUMBER(F19),E19&gt;0),F19/E19,"")</f>
        <v>0.0561797752808989</v>
      </c>
    </row>
    <row r="20" customFormat="false" ht="16.5" hidden="false" customHeight="true" outlineLevel="0" collapsed="false">
      <c r="A20" s="7" t="s">
        <v>102</v>
      </c>
      <c r="B20" s="9" t="s">
        <v>73</v>
      </c>
      <c r="C20" s="7" t="n">
        <v>6</v>
      </c>
      <c r="D20" s="11" t="s">
        <v>103</v>
      </c>
      <c r="E20" s="7" t="n">
        <v>178</v>
      </c>
      <c r="F20" s="7" t="n">
        <v>10</v>
      </c>
      <c r="G20" s="9" t="s">
        <v>48</v>
      </c>
      <c r="H20" s="9" t="s">
        <v>49</v>
      </c>
      <c r="I20" s="9" t="s">
        <v>75</v>
      </c>
      <c r="J20" s="9" t="s">
        <v>51</v>
      </c>
      <c r="K20" s="10" t="s">
        <v>52</v>
      </c>
      <c r="L20" s="11"/>
      <c r="M20" s="8" t="s">
        <v>76</v>
      </c>
      <c r="N20" s="7"/>
      <c r="O20" s="12"/>
      <c r="P20" s="12"/>
      <c r="Q20" s="9" t="s">
        <v>77</v>
      </c>
      <c r="R20" s="13" t="n">
        <f aca="false">IF(AND(ISNUMBER(E20),ISNUMBER(F20),E20&gt;0),F20/E20,"")</f>
        <v>0.0561797752808989</v>
      </c>
    </row>
    <row r="21" customFormat="false" ht="16.5" hidden="false" customHeight="true" outlineLevel="0" collapsed="false">
      <c r="A21" s="7" t="s">
        <v>104</v>
      </c>
      <c r="B21" s="9" t="s">
        <v>73</v>
      </c>
      <c r="C21" s="7" t="n">
        <v>6</v>
      </c>
      <c r="D21" s="11" t="s">
        <v>105</v>
      </c>
      <c r="E21" s="7" t="n">
        <v>94</v>
      </c>
      <c r="F21" s="7" t="n">
        <v>10</v>
      </c>
      <c r="G21" s="9" t="s">
        <v>48</v>
      </c>
      <c r="H21" s="9" t="s">
        <v>49</v>
      </c>
      <c r="I21" s="9" t="s">
        <v>75</v>
      </c>
      <c r="J21" s="9" t="s">
        <v>51</v>
      </c>
      <c r="K21" s="10" t="s">
        <v>52</v>
      </c>
      <c r="L21" s="11"/>
      <c r="M21" s="8" t="s">
        <v>76</v>
      </c>
      <c r="N21" s="7"/>
      <c r="O21" s="12"/>
      <c r="P21" s="12"/>
      <c r="Q21" s="9" t="s">
        <v>77</v>
      </c>
      <c r="R21" s="13" t="n">
        <f aca="false">IF(AND(ISNUMBER(E21),ISNUMBER(F21),E21&gt;0),F21/E21,"")</f>
        <v>0.106382978723404</v>
      </c>
    </row>
    <row r="22" customFormat="false" ht="16.5" hidden="false" customHeight="true" outlineLevel="0" collapsed="false">
      <c r="A22" s="7" t="s">
        <v>106</v>
      </c>
      <c r="B22" s="9" t="s">
        <v>73</v>
      </c>
      <c r="C22" s="7" t="n">
        <v>6</v>
      </c>
      <c r="D22" s="11" t="s">
        <v>107</v>
      </c>
      <c r="E22" s="7" t="n">
        <v>94</v>
      </c>
      <c r="F22" s="7" t="n">
        <v>10</v>
      </c>
      <c r="G22" s="9" t="s">
        <v>48</v>
      </c>
      <c r="H22" s="9" t="s">
        <v>49</v>
      </c>
      <c r="I22" s="9" t="s">
        <v>75</v>
      </c>
      <c r="J22" s="9" t="s">
        <v>51</v>
      </c>
      <c r="K22" s="10" t="s">
        <v>52</v>
      </c>
      <c r="L22" s="11"/>
      <c r="M22" s="8" t="s">
        <v>76</v>
      </c>
      <c r="N22" s="7"/>
      <c r="O22" s="12"/>
      <c r="P22" s="12"/>
      <c r="Q22" s="9" t="s">
        <v>77</v>
      </c>
      <c r="R22" s="13" t="n">
        <f aca="false">IF(AND(ISNUMBER(E22),ISNUMBER(F22),E22&gt;0),F22/E22,"")</f>
        <v>0.106382978723404</v>
      </c>
    </row>
    <row r="23" customFormat="false" ht="16.5" hidden="false" customHeight="true" outlineLevel="0" collapsed="false">
      <c r="A23" s="7" t="s">
        <v>108</v>
      </c>
      <c r="B23" s="9" t="s">
        <v>73</v>
      </c>
      <c r="C23" s="7" t="n">
        <v>6</v>
      </c>
      <c r="D23" s="11" t="s">
        <v>109</v>
      </c>
      <c r="E23" s="7" t="n">
        <v>94</v>
      </c>
      <c r="F23" s="7" t="n">
        <v>10</v>
      </c>
      <c r="G23" s="9" t="s">
        <v>48</v>
      </c>
      <c r="H23" s="9" t="s">
        <v>49</v>
      </c>
      <c r="I23" s="9" t="s">
        <v>75</v>
      </c>
      <c r="J23" s="9" t="s">
        <v>51</v>
      </c>
      <c r="K23" s="10" t="s">
        <v>52</v>
      </c>
      <c r="L23" s="11"/>
      <c r="M23" s="8" t="s">
        <v>76</v>
      </c>
      <c r="N23" s="7"/>
      <c r="O23" s="12"/>
      <c r="P23" s="12"/>
      <c r="Q23" s="9" t="s">
        <v>77</v>
      </c>
      <c r="R23" s="13" t="n">
        <f aca="false">IF(AND(ISNUMBER(E23),ISNUMBER(F23),E23&gt;0),F23/E23,"")</f>
        <v>0.106382978723404</v>
      </c>
    </row>
    <row r="24" customFormat="false" ht="16.5" hidden="false" customHeight="true" outlineLevel="0" collapsed="false">
      <c r="A24" s="7" t="s">
        <v>110</v>
      </c>
      <c r="B24" s="9" t="s">
        <v>73</v>
      </c>
      <c r="C24" s="7" t="n">
        <v>6</v>
      </c>
      <c r="D24" s="11" t="s">
        <v>111</v>
      </c>
      <c r="E24" s="7" t="n">
        <v>94</v>
      </c>
      <c r="F24" s="7" t="n">
        <v>10</v>
      </c>
      <c r="G24" s="9" t="s">
        <v>48</v>
      </c>
      <c r="H24" s="9" t="s">
        <v>49</v>
      </c>
      <c r="I24" s="9" t="s">
        <v>75</v>
      </c>
      <c r="J24" s="9" t="s">
        <v>51</v>
      </c>
      <c r="K24" s="10" t="s">
        <v>52</v>
      </c>
      <c r="L24" s="11"/>
      <c r="M24" s="8" t="s">
        <v>76</v>
      </c>
      <c r="N24" s="7"/>
      <c r="O24" s="12"/>
      <c r="P24" s="12"/>
      <c r="Q24" s="9" t="s">
        <v>77</v>
      </c>
      <c r="R24" s="13" t="n">
        <f aca="false">IF(AND(ISNUMBER(E24),ISNUMBER(F24),E24&gt;0),F24/E24,"")</f>
        <v>0.106382978723404</v>
      </c>
    </row>
    <row r="25" customFormat="false" ht="16.5" hidden="false" customHeight="true" outlineLevel="0" collapsed="false">
      <c r="A25" s="7" t="s">
        <v>112</v>
      </c>
      <c r="B25" s="9" t="s">
        <v>73</v>
      </c>
      <c r="C25" s="7" t="n">
        <v>7</v>
      </c>
      <c r="D25" s="11" t="s">
        <v>113</v>
      </c>
      <c r="E25" s="7" t="n">
        <v>160</v>
      </c>
      <c r="F25" s="7" t="n">
        <v>220</v>
      </c>
      <c r="G25" s="9" t="s">
        <v>114</v>
      </c>
      <c r="H25" s="9" t="s">
        <v>49</v>
      </c>
      <c r="I25" s="9" t="s">
        <v>75</v>
      </c>
      <c r="J25" s="9" t="s">
        <v>51</v>
      </c>
      <c r="K25" s="10" t="s">
        <v>52</v>
      </c>
      <c r="L25" s="11"/>
      <c r="M25" s="8" t="s">
        <v>76</v>
      </c>
      <c r="N25" s="7"/>
      <c r="O25" s="12"/>
      <c r="P25" s="12"/>
      <c r="Q25" s="9" t="s">
        <v>77</v>
      </c>
      <c r="R25" s="13" t="n">
        <f aca="false">IF(AND(ISNUMBER(E25),ISNUMBER(F25),E25&gt;0),F25/E25,"")</f>
        <v>1.375</v>
      </c>
    </row>
    <row r="26" customFormat="false" ht="16.5" hidden="false" customHeight="true" outlineLevel="0" collapsed="false">
      <c r="A26" s="7" t="s">
        <v>115</v>
      </c>
      <c r="B26" s="9" t="s">
        <v>73</v>
      </c>
      <c r="C26" s="7" t="n">
        <v>7</v>
      </c>
      <c r="D26" s="11" t="s">
        <v>116</v>
      </c>
      <c r="E26" s="7" t="n">
        <v>160</v>
      </c>
      <c r="F26" s="7" t="n">
        <v>220</v>
      </c>
      <c r="G26" s="9" t="s">
        <v>114</v>
      </c>
      <c r="H26" s="9" t="s">
        <v>49</v>
      </c>
      <c r="I26" s="9" t="s">
        <v>75</v>
      </c>
      <c r="J26" s="9" t="s">
        <v>51</v>
      </c>
      <c r="K26" s="10" t="s">
        <v>52</v>
      </c>
      <c r="L26" s="11"/>
      <c r="M26" s="8" t="s">
        <v>76</v>
      </c>
      <c r="N26" s="7"/>
      <c r="O26" s="12"/>
      <c r="P26" s="12"/>
      <c r="Q26" s="9" t="s">
        <v>77</v>
      </c>
      <c r="R26" s="13" t="n">
        <f aca="false">IF(AND(ISNUMBER(E26),ISNUMBER(F26),E26&gt;0),F26/E26,"")</f>
        <v>1.375</v>
      </c>
    </row>
    <row r="27" customFormat="false" ht="16.5" hidden="false" customHeight="true" outlineLevel="0" collapsed="false">
      <c r="A27" s="7" t="s">
        <v>117</v>
      </c>
      <c r="B27" s="9" t="s">
        <v>73</v>
      </c>
      <c r="C27" s="7" t="n">
        <v>7</v>
      </c>
      <c r="D27" s="11" t="s">
        <v>118</v>
      </c>
      <c r="E27" s="7" t="n">
        <v>160</v>
      </c>
      <c r="F27" s="7" t="n">
        <v>220</v>
      </c>
      <c r="G27" s="9" t="s">
        <v>114</v>
      </c>
      <c r="H27" s="9" t="s">
        <v>49</v>
      </c>
      <c r="I27" s="9" t="s">
        <v>75</v>
      </c>
      <c r="J27" s="9" t="s">
        <v>51</v>
      </c>
      <c r="K27" s="10" t="s">
        <v>52</v>
      </c>
      <c r="L27" s="11"/>
      <c r="M27" s="8" t="s">
        <v>76</v>
      </c>
      <c r="N27" s="7"/>
      <c r="O27" s="12"/>
      <c r="P27" s="12"/>
      <c r="Q27" s="9" t="s">
        <v>77</v>
      </c>
      <c r="R27" s="13" t="n">
        <f aca="false">IF(AND(ISNUMBER(E27),ISNUMBER(F27),E27&gt;0),F27/E27,"")</f>
        <v>1.375</v>
      </c>
    </row>
    <row r="28" customFormat="false" ht="16.5" hidden="false" customHeight="true" outlineLevel="0" collapsed="false">
      <c r="A28" s="7" t="s">
        <v>119</v>
      </c>
      <c r="B28" s="9" t="s">
        <v>73</v>
      </c>
      <c r="C28" s="7" t="n">
        <v>7</v>
      </c>
      <c r="D28" s="11" t="s">
        <v>120</v>
      </c>
      <c r="E28" s="7" t="n">
        <v>160</v>
      </c>
      <c r="F28" s="7" t="n">
        <v>220</v>
      </c>
      <c r="G28" s="9" t="s">
        <v>114</v>
      </c>
      <c r="H28" s="9" t="s">
        <v>49</v>
      </c>
      <c r="I28" s="9" t="s">
        <v>75</v>
      </c>
      <c r="J28" s="9" t="s">
        <v>51</v>
      </c>
      <c r="K28" s="10" t="s">
        <v>52</v>
      </c>
      <c r="L28" s="11"/>
      <c r="M28" s="8" t="s">
        <v>76</v>
      </c>
      <c r="N28" s="7"/>
      <c r="O28" s="12"/>
      <c r="P28" s="12"/>
      <c r="Q28" s="9" t="s">
        <v>77</v>
      </c>
      <c r="R28" s="13" t="n">
        <f aca="false">IF(AND(ISNUMBER(E28),ISNUMBER(F28),E28&gt;0),F28/E28,"")</f>
        <v>1.375</v>
      </c>
    </row>
    <row r="29" customFormat="false" ht="16.5" hidden="false" customHeight="true" outlineLevel="0" collapsed="false">
      <c r="A29" s="7" t="s">
        <v>121</v>
      </c>
      <c r="B29" s="9" t="s">
        <v>73</v>
      </c>
      <c r="C29" s="7" t="n">
        <v>7</v>
      </c>
      <c r="D29" s="11" t="s">
        <v>122</v>
      </c>
      <c r="E29" s="7" t="n">
        <v>160</v>
      </c>
      <c r="F29" s="7" t="n">
        <v>220</v>
      </c>
      <c r="G29" s="9" t="s">
        <v>114</v>
      </c>
      <c r="H29" s="9" t="s">
        <v>49</v>
      </c>
      <c r="I29" s="9" t="s">
        <v>75</v>
      </c>
      <c r="J29" s="9" t="s">
        <v>51</v>
      </c>
      <c r="K29" s="10" t="s">
        <v>52</v>
      </c>
      <c r="L29" s="11"/>
      <c r="M29" s="8" t="s">
        <v>76</v>
      </c>
      <c r="N29" s="7"/>
      <c r="O29" s="12"/>
      <c r="P29" s="12"/>
      <c r="Q29" s="9" t="s">
        <v>77</v>
      </c>
      <c r="R29" s="13" t="n">
        <f aca="false">IF(AND(ISNUMBER(E29),ISNUMBER(F29),E29&gt;0),F29/E29,"")</f>
        <v>1.375</v>
      </c>
    </row>
    <row r="30" customFormat="false" ht="16.5" hidden="false" customHeight="true" outlineLevel="0" collapsed="false">
      <c r="A30" s="7" t="s">
        <v>123</v>
      </c>
      <c r="B30" s="9" t="s">
        <v>73</v>
      </c>
      <c r="C30" s="7" t="n">
        <v>7</v>
      </c>
      <c r="D30" s="11" t="s">
        <v>124</v>
      </c>
      <c r="E30" s="12"/>
      <c r="F30" s="7" t="n">
        <v>10</v>
      </c>
      <c r="G30" s="9" t="s">
        <v>48</v>
      </c>
      <c r="H30" s="9" t="s">
        <v>49</v>
      </c>
      <c r="I30" s="9" t="s">
        <v>75</v>
      </c>
      <c r="J30" s="9" t="s">
        <v>51</v>
      </c>
      <c r="K30" s="10" t="s">
        <v>52</v>
      </c>
      <c r="L30" s="11"/>
      <c r="M30" s="8" t="s">
        <v>76</v>
      </c>
      <c r="N30" s="7"/>
      <c r="O30" s="12"/>
      <c r="P30" s="12"/>
      <c r="Q30" s="9" t="s">
        <v>77</v>
      </c>
      <c r="R30" s="13" t="str">
        <f aca="false">IF(AND(ISNUMBER(E30),ISNUMBER(F30),E30&gt;0),F30/E30,"")</f>
        <v/>
      </c>
    </row>
    <row r="31" customFormat="false" ht="16.5" hidden="false" customHeight="true" outlineLevel="0" collapsed="false">
      <c r="A31" s="7" t="s">
        <v>125</v>
      </c>
      <c r="B31" s="9" t="s">
        <v>73</v>
      </c>
      <c r="C31" s="7" t="n">
        <v>7</v>
      </c>
      <c r="D31" s="11" t="s">
        <v>126</v>
      </c>
      <c r="E31" s="7" t="n">
        <v>32</v>
      </c>
      <c r="F31" s="7" t="n">
        <v>10</v>
      </c>
      <c r="G31" s="9" t="s">
        <v>127</v>
      </c>
      <c r="H31" s="9" t="s">
        <v>49</v>
      </c>
      <c r="I31" s="9" t="s">
        <v>75</v>
      </c>
      <c r="J31" s="9" t="s">
        <v>51</v>
      </c>
      <c r="K31" s="10" t="s">
        <v>52</v>
      </c>
      <c r="L31" s="11"/>
      <c r="M31" s="8" t="s">
        <v>76</v>
      </c>
      <c r="N31" s="7"/>
      <c r="O31" s="12"/>
      <c r="P31" s="12"/>
      <c r="Q31" s="9" t="s">
        <v>77</v>
      </c>
      <c r="R31" s="13" t="n">
        <f aca="false">IF(AND(ISNUMBER(E31),ISNUMBER(F31),E31&gt;0),F31/E31,"")</f>
        <v>0.3125</v>
      </c>
    </row>
    <row r="32" customFormat="false" ht="16.5" hidden="false" customHeight="true" outlineLevel="0" collapsed="false">
      <c r="A32" s="7" t="s">
        <v>128</v>
      </c>
      <c r="B32" s="9" t="s">
        <v>73</v>
      </c>
      <c r="C32" s="7" t="n">
        <v>7</v>
      </c>
      <c r="D32" s="11" t="s">
        <v>129</v>
      </c>
      <c r="E32" s="7" t="n">
        <v>30</v>
      </c>
      <c r="F32" s="7" t="n">
        <v>10</v>
      </c>
      <c r="G32" s="9" t="s">
        <v>127</v>
      </c>
      <c r="H32" s="9" t="s">
        <v>49</v>
      </c>
      <c r="I32" s="9" t="s">
        <v>75</v>
      </c>
      <c r="J32" s="9" t="s">
        <v>51</v>
      </c>
      <c r="K32" s="10" t="s">
        <v>52</v>
      </c>
      <c r="L32" s="11"/>
      <c r="M32" s="8" t="s">
        <v>76</v>
      </c>
      <c r="N32" s="7"/>
      <c r="O32" s="12"/>
      <c r="P32" s="12"/>
      <c r="Q32" s="9" t="s">
        <v>77</v>
      </c>
      <c r="R32" s="13" t="n">
        <f aca="false">IF(AND(ISNUMBER(E32),ISNUMBER(F32),E32&gt;0),F32/E32,"")</f>
        <v>0.333333333333333</v>
      </c>
    </row>
    <row r="33" customFormat="false" ht="16.5" hidden="false" customHeight="true" outlineLevel="0" collapsed="false">
      <c r="A33" s="7" t="s">
        <v>130</v>
      </c>
      <c r="B33" s="9" t="s">
        <v>73</v>
      </c>
      <c r="C33" s="7" t="n">
        <v>7</v>
      </c>
      <c r="D33" s="11" t="s">
        <v>131</v>
      </c>
      <c r="E33" s="7" t="n">
        <v>32</v>
      </c>
      <c r="F33" s="7" t="n">
        <v>10</v>
      </c>
      <c r="G33" s="9" t="s">
        <v>127</v>
      </c>
      <c r="H33" s="9" t="s">
        <v>49</v>
      </c>
      <c r="I33" s="9" t="s">
        <v>75</v>
      </c>
      <c r="J33" s="9" t="s">
        <v>51</v>
      </c>
      <c r="K33" s="10" t="s">
        <v>52</v>
      </c>
      <c r="L33" s="11"/>
      <c r="M33" s="8" t="s">
        <v>76</v>
      </c>
      <c r="N33" s="7"/>
      <c r="O33" s="12"/>
      <c r="P33" s="12"/>
      <c r="Q33" s="9" t="s">
        <v>77</v>
      </c>
      <c r="R33" s="13" t="n">
        <f aca="false">IF(AND(ISNUMBER(E33),ISNUMBER(F33),E33&gt;0),F33/E33,"")</f>
        <v>0.3125</v>
      </c>
    </row>
    <row r="34" customFormat="false" ht="32.25" hidden="false" customHeight="true" outlineLevel="0" collapsed="false">
      <c r="A34" s="7" t="s">
        <v>132</v>
      </c>
      <c r="B34" s="9" t="s">
        <v>133</v>
      </c>
      <c r="C34" s="7" t="n">
        <v>1</v>
      </c>
      <c r="D34" s="11" t="s">
        <v>134</v>
      </c>
      <c r="E34" s="7" t="n">
        <v>126</v>
      </c>
      <c r="F34" s="7" t="n">
        <v>168</v>
      </c>
      <c r="G34" s="9" t="s">
        <v>64</v>
      </c>
      <c r="H34" s="9" t="s">
        <v>49</v>
      </c>
      <c r="I34" s="9" t="s">
        <v>50</v>
      </c>
      <c r="J34" s="9" t="s">
        <v>49</v>
      </c>
      <c r="K34" s="9" t="s">
        <v>135</v>
      </c>
      <c r="L34" s="8" t="s">
        <v>136</v>
      </c>
      <c r="M34" s="8" t="s">
        <v>137</v>
      </c>
      <c r="N34" s="7"/>
      <c r="O34" s="7" t="s">
        <v>138</v>
      </c>
      <c r="P34" s="9" t="s">
        <v>139</v>
      </c>
      <c r="Q34" s="9" t="s">
        <v>140</v>
      </c>
      <c r="R34" s="13" t="n">
        <f aca="false">IF(AND(ISNUMBER(E34),ISNUMBER(F34),E34&gt;0),F34/E34,"")</f>
        <v>1.33333333333333</v>
      </c>
    </row>
    <row r="35" customFormat="false" ht="32.25" hidden="false" customHeight="true" outlineLevel="0" collapsed="false">
      <c r="A35" s="7" t="s">
        <v>141</v>
      </c>
      <c r="B35" s="9" t="s">
        <v>133</v>
      </c>
      <c r="C35" s="7" t="n">
        <v>1</v>
      </c>
      <c r="D35" s="11" t="s">
        <v>142</v>
      </c>
      <c r="E35" s="7" t="n">
        <v>28</v>
      </c>
      <c r="F35" s="7" t="n">
        <v>28</v>
      </c>
      <c r="G35" s="9" t="s">
        <v>64</v>
      </c>
      <c r="H35" s="9" t="s">
        <v>49</v>
      </c>
      <c r="I35" s="9" t="s">
        <v>50</v>
      </c>
      <c r="J35" s="9" t="s">
        <v>49</v>
      </c>
      <c r="K35" s="9" t="s">
        <v>135</v>
      </c>
      <c r="L35" s="8" t="s">
        <v>136</v>
      </c>
      <c r="M35" s="14" t="s">
        <v>143</v>
      </c>
      <c r="N35" s="7"/>
      <c r="O35" s="7" t="s">
        <v>138</v>
      </c>
      <c r="P35" s="9" t="s">
        <v>139</v>
      </c>
      <c r="Q35" s="9" t="s">
        <v>140</v>
      </c>
      <c r="R35" s="13" t="n">
        <f aca="false">IF(AND(ISNUMBER(E35),ISNUMBER(F35),E35&gt;0),F35/E35,"")</f>
        <v>1</v>
      </c>
    </row>
    <row r="36" customFormat="false" ht="16.5" hidden="false" customHeight="true" outlineLevel="0" collapsed="false">
      <c r="A36" s="7" t="s">
        <v>144</v>
      </c>
      <c r="B36" s="9" t="s">
        <v>133</v>
      </c>
      <c r="C36" s="7" t="n">
        <v>1</v>
      </c>
      <c r="D36" s="8" t="s">
        <v>145</v>
      </c>
      <c r="E36" s="7" t="n">
        <v>12</v>
      </c>
      <c r="F36" s="7" t="n">
        <v>0</v>
      </c>
      <c r="G36" s="9" t="s">
        <v>146</v>
      </c>
      <c r="H36" s="9" t="s">
        <v>49</v>
      </c>
      <c r="I36" s="9" t="s">
        <v>50</v>
      </c>
      <c r="J36" s="9" t="s">
        <v>49</v>
      </c>
      <c r="K36" s="9" t="s">
        <v>58</v>
      </c>
      <c r="L36" s="11"/>
      <c r="M36" s="14" t="s">
        <v>147</v>
      </c>
      <c r="N36" s="7"/>
      <c r="O36" s="7" t="s">
        <v>138</v>
      </c>
      <c r="P36" s="9" t="s">
        <v>139</v>
      </c>
      <c r="Q36" s="9" t="s">
        <v>140</v>
      </c>
      <c r="R36" s="13" t="n">
        <f aca="false">IF(AND(ISNUMBER(E36),ISNUMBER(F36),E36&gt;0),F36/E36,"")</f>
        <v>0</v>
      </c>
    </row>
    <row r="37" customFormat="false" ht="16.5" hidden="false" customHeight="true" outlineLevel="0" collapsed="false">
      <c r="A37" s="7" t="s">
        <v>148</v>
      </c>
      <c r="B37" s="9" t="s">
        <v>133</v>
      </c>
      <c r="C37" s="7" t="n">
        <v>1</v>
      </c>
      <c r="D37" s="8" t="s">
        <v>149</v>
      </c>
      <c r="E37" s="7" t="n">
        <v>8</v>
      </c>
      <c r="F37" s="7" t="n">
        <v>0</v>
      </c>
      <c r="G37" s="9" t="s">
        <v>146</v>
      </c>
      <c r="H37" s="9" t="s">
        <v>49</v>
      </c>
      <c r="I37" s="9" t="s">
        <v>50</v>
      </c>
      <c r="J37" s="9" t="s">
        <v>49</v>
      </c>
      <c r="K37" s="9" t="s">
        <v>58</v>
      </c>
      <c r="L37" s="11"/>
      <c r="M37" s="14" t="s">
        <v>147</v>
      </c>
      <c r="N37" s="7"/>
      <c r="O37" s="7" t="s">
        <v>138</v>
      </c>
      <c r="P37" s="9" t="s">
        <v>139</v>
      </c>
      <c r="Q37" s="9" t="s">
        <v>140</v>
      </c>
      <c r="R37" s="13" t="n">
        <f aca="false">IF(AND(ISNUMBER(E37),ISNUMBER(F37),E37&gt;0),F37/E37,"")</f>
        <v>0</v>
      </c>
    </row>
    <row r="38" customFormat="false" ht="16.5" hidden="false" customHeight="true" outlineLevel="0" collapsed="false">
      <c r="A38" s="7" t="s">
        <v>150</v>
      </c>
      <c r="B38" s="9" t="s">
        <v>133</v>
      </c>
      <c r="C38" s="7" t="n">
        <v>1</v>
      </c>
      <c r="D38" s="8" t="s">
        <v>151</v>
      </c>
      <c r="E38" s="7" t="n">
        <v>8</v>
      </c>
      <c r="F38" s="7" t="n">
        <v>0</v>
      </c>
      <c r="G38" s="9" t="s">
        <v>146</v>
      </c>
      <c r="H38" s="9" t="s">
        <v>49</v>
      </c>
      <c r="I38" s="9" t="s">
        <v>50</v>
      </c>
      <c r="J38" s="9" t="s">
        <v>49</v>
      </c>
      <c r="K38" s="9" t="s">
        <v>58</v>
      </c>
      <c r="L38" s="11"/>
      <c r="M38" s="14" t="s">
        <v>152</v>
      </c>
      <c r="N38" s="7"/>
      <c r="O38" s="7" t="s">
        <v>138</v>
      </c>
      <c r="P38" s="9" t="s">
        <v>139</v>
      </c>
      <c r="Q38" s="9" t="s">
        <v>140</v>
      </c>
      <c r="R38" s="13" t="n">
        <f aca="false">IF(AND(ISNUMBER(E38),ISNUMBER(F38),E38&gt;0),F38/E38,"")</f>
        <v>0</v>
      </c>
    </row>
    <row r="39" customFormat="false" ht="16.5" hidden="false" customHeight="true" outlineLevel="0" collapsed="false">
      <c r="A39" s="7" t="s">
        <v>153</v>
      </c>
      <c r="B39" s="9" t="s">
        <v>154</v>
      </c>
      <c r="C39" s="12"/>
      <c r="D39" s="8" t="s">
        <v>155</v>
      </c>
      <c r="E39" s="7" t="n">
        <v>60</v>
      </c>
      <c r="F39" s="7" t="n">
        <v>0</v>
      </c>
      <c r="G39" s="10" t="s">
        <v>52</v>
      </c>
      <c r="H39" s="9" t="s">
        <v>49</v>
      </c>
      <c r="I39" s="10" t="s">
        <v>52</v>
      </c>
      <c r="J39" s="10" t="s">
        <v>52</v>
      </c>
      <c r="K39" s="10" t="s">
        <v>52</v>
      </c>
      <c r="L39" s="11"/>
      <c r="M39" s="11" t="s">
        <v>156</v>
      </c>
      <c r="N39" s="7"/>
      <c r="O39" s="7" t="s">
        <v>138</v>
      </c>
      <c r="P39" s="9" t="s">
        <v>139</v>
      </c>
      <c r="Q39" s="9" t="s">
        <v>157</v>
      </c>
      <c r="R39" s="13" t="n">
        <f aca="false">IF(AND(ISNUMBER(E39),ISNUMBER(F39),E39&gt;0),F39/E39,"")</f>
        <v>0</v>
      </c>
    </row>
    <row r="40" customFormat="false" ht="16.5" hidden="false" customHeight="true" outlineLevel="0" collapsed="false">
      <c r="A40" s="7" t="s">
        <v>158</v>
      </c>
      <c r="B40" s="9" t="s">
        <v>159</v>
      </c>
      <c r="C40" s="7" t="n">
        <v>1</v>
      </c>
      <c r="D40" s="8" t="s">
        <v>160</v>
      </c>
      <c r="E40" s="7" t="n">
        <v>48</v>
      </c>
      <c r="F40" s="7" t="n">
        <v>0</v>
      </c>
      <c r="G40" s="9" t="s">
        <v>161</v>
      </c>
      <c r="H40" s="9" t="s">
        <v>49</v>
      </c>
      <c r="I40" s="9" t="s">
        <v>162</v>
      </c>
      <c r="J40" s="9" t="s">
        <v>65</v>
      </c>
      <c r="K40" s="9" t="s">
        <v>58</v>
      </c>
      <c r="L40" s="11"/>
      <c r="M40" s="15" t="s">
        <v>163</v>
      </c>
      <c r="N40" s="7"/>
      <c r="O40" s="7" t="s">
        <v>138</v>
      </c>
      <c r="P40" s="9" t="s">
        <v>139</v>
      </c>
      <c r="Q40" s="9" t="s">
        <v>140</v>
      </c>
      <c r="R40" s="13" t="n">
        <f aca="false">IF(AND(ISNUMBER(E40),ISNUMBER(F40),E40&gt;0),F40/E40,"")</f>
        <v>0</v>
      </c>
    </row>
    <row r="41" customFormat="false" ht="16.5" hidden="false" customHeight="true" outlineLevel="0" collapsed="false">
      <c r="A41" s="7" t="s">
        <v>164</v>
      </c>
      <c r="B41" s="9" t="s">
        <v>159</v>
      </c>
      <c r="C41" s="7" t="n">
        <v>1</v>
      </c>
      <c r="D41" s="8" t="s">
        <v>165</v>
      </c>
      <c r="E41" s="7" t="n">
        <v>4</v>
      </c>
      <c r="F41" s="7" t="n">
        <v>0</v>
      </c>
      <c r="G41" s="9" t="s">
        <v>64</v>
      </c>
      <c r="H41" s="9" t="s">
        <v>49</v>
      </c>
      <c r="I41" s="9" t="s">
        <v>162</v>
      </c>
      <c r="J41" s="9" t="s">
        <v>65</v>
      </c>
      <c r="K41" s="9" t="s">
        <v>58</v>
      </c>
      <c r="L41" s="11"/>
      <c r="M41" s="8" t="s">
        <v>166</v>
      </c>
      <c r="N41" s="7"/>
      <c r="O41" s="7" t="s">
        <v>138</v>
      </c>
      <c r="P41" s="9" t="s">
        <v>139</v>
      </c>
      <c r="Q41" s="9" t="s">
        <v>140</v>
      </c>
      <c r="R41" s="13" t="n">
        <f aca="false">IF(AND(ISNUMBER(E41),ISNUMBER(F41),E41&gt;0),F41/E41,"")</f>
        <v>0</v>
      </c>
    </row>
    <row r="42" customFormat="false" ht="16.5" hidden="false" customHeight="true" outlineLevel="0" collapsed="false">
      <c r="A42" s="7" t="s">
        <v>167</v>
      </c>
      <c r="B42" s="9" t="s">
        <v>159</v>
      </c>
      <c r="C42" s="7" t="n">
        <v>1</v>
      </c>
      <c r="D42" s="8" t="s">
        <v>168</v>
      </c>
      <c r="E42" s="7" t="n">
        <v>9</v>
      </c>
      <c r="F42" s="7" t="n">
        <v>0</v>
      </c>
      <c r="G42" s="9" t="s">
        <v>169</v>
      </c>
      <c r="H42" s="9" t="s">
        <v>49</v>
      </c>
      <c r="I42" s="9" t="s">
        <v>162</v>
      </c>
      <c r="J42" s="9" t="s">
        <v>65</v>
      </c>
      <c r="K42" s="9" t="s">
        <v>58</v>
      </c>
      <c r="L42" s="11"/>
      <c r="M42" s="15" t="s">
        <v>170</v>
      </c>
      <c r="N42" s="7"/>
      <c r="O42" s="7" t="s">
        <v>138</v>
      </c>
      <c r="P42" s="9" t="s">
        <v>139</v>
      </c>
      <c r="Q42" s="9" t="s">
        <v>140</v>
      </c>
      <c r="R42" s="13" t="n">
        <f aca="false">IF(AND(ISNUMBER(E42),ISNUMBER(F42),E42&gt;0),F42/E42,"")</f>
        <v>0</v>
      </c>
    </row>
    <row r="43" customFormat="false" ht="32.25" hidden="false" customHeight="true" outlineLevel="0" collapsed="false">
      <c r="A43" s="7" t="s">
        <v>171</v>
      </c>
      <c r="B43" s="9" t="s">
        <v>159</v>
      </c>
      <c r="C43" s="7" t="n">
        <v>2</v>
      </c>
      <c r="D43" s="8" t="s">
        <v>172</v>
      </c>
      <c r="E43" s="7" t="n">
        <v>6</v>
      </c>
      <c r="F43" s="7" t="n">
        <v>8</v>
      </c>
      <c r="G43" s="9" t="s">
        <v>58</v>
      </c>
      <c r="H43" s="9" t="s">
        <v>59</v>
      </c>
      <c r="I43" s="9" t="s">
        <v>162</v>
      </c>
      <c r="J43" s="9" t="s">
        <v>65</v>
      </c>
      <c r="K43" s="9" t="s">
        <v>135</v>
      </c>
      <c r="L43" s="8" t="s">
        <v>173</v>
      </c>
      <c r="M43" s="14" t="s">
        <v>174</v>
      </c>
      <c r="N43" s="7"/>
      <c r="O43" s="7" t="s">
        <v>138</v>
      </c>
      <c r="P43" s="9" t="s">
        <v>139</v>
      </c>
      <c r="Q43" s="9" t="s">
        <v>140</v>
      </c>
      <c r="R43" s="13" t="n">
        <f aca="false">IF(AND(ISNUMBER(E43),ISNUMBER(F43),E43&gt;0),F43/E43,"")</f>
        <v>1.33333333333333</v>
      </c>
    </row>
    <row r="44" customFormat="false" ht="16.5" hidden="false" customHeight="true" outlineLevel="0" collapsed="false">
      <c r="A44" s="7" t="s">
        <v>175</v>
      </c>
      <c r="B44" s="9" t="s">
        <v>159</v>
      </c>
      <c r="C44" s="7" t="n">
        <v>2</v>
      </c>
      <c r="D44" s="8" t="s">
        <v>176</v>
      </c>
      <c r="E44" s="7" t="n">
        <v>8</v>
      </c>
      <c r="F44" s="7" t="n">
        <v>0</v>
      </c>
      <c r="G44" s="9" t="s">
        <v>146</v>
      </c>
      <c r="H44" s="9" t="s">
        <v>49</v>
      </c>
      <c r="I44" s="9" t="s">
        <v>162</v>
      </c>
      <c r="J44" s="9" t="s">
        <v>65</v>
      </c>
      <c r="K44" s="9" t="s">
        <v>58</v>
      </c>
      <c r="L44" s="11"/>
      <c r="M44" s="15" t="s">
        <v>177</v>
      </c>
      <c r="N44" s="7"/>
      <c r="O44" s="7" t="s">
        <v>138</v>
      </c>
      <c r="P44" s="9" t="s">
        <v>139</v>
      </c>
      <c r="Q44" s="9" t="s">
        <v>140</v>
      </c>
      <c r="R44" s="13" t="n">
        <f aca="false">IF(AND(ISNUMBER(E44),ISNUMBER(F44),E44&gt;0),F44/E44,"")</f>
        <v>0</v>
      </c>
    </row>
    <row r="45" customFormat="false" ht="16.5" hidden="false" customHeight="true" outlineLevel="0" collapsed="false">
      <c r="A45" s="7" t="s">
        <v>178</v>
      </c>
      <c r="B45" s="9" t="s">
        <v>159</v>
      </c>
      <c r="C45" s="7" t="n">
        <v>2</v>
      </c>
      <c r="D45" s="8" t="s">
        <v>179</v>
      </c>
      <c r="E45" s="7" t="n">
        <v>47</v>
      </c>
      <c r="F45" s="7" t="n">
        <v>0</v>
      </c>
      <c r="G45" s="9" t="s">
        <v>161</v>
      </c>
      <c r="H45" s="9" t="s">
        <v>49</v>
      </c>
      <c r="I45" s="9" t="s">
        <v>162</v>
      </c>
      <c r="J45" s="9" t="s">
        <v>65</v>
      </c>
      <c r="K45" s="9" t="s">
        <v>58</v>
      </c>
      <c r="L45" s="11"/>
      <c r="M45" s="15" t="s">
        <v>180</v>
      </c>
      <c r="N45" s="7"/>
      <c r="O45" s="7" t="s">
        <v>138</v>
      </c>
      <c r="P45" s="9" t="s">
        <v>139</v>
      </c>
      <c r="Q45" s="9" t="s">
        <v>140</v>
      </c>
      <c r="R45" s="13" t="n">
        <f aca="false">IF(AND(ISNUMBER(E45),ISNUMBER(F45),E45&gt;0),F45/E45,"")</f>
        <v>0</v>
      </c>
    </row>
    <row r="46" customFormat="false" ht="16.5" hidden="false" customHeight="true" outlineLevel="0" collapsed="false">
      <c r="A46" s="7" t="s">
        <v>181</v>
      </c>
      <c r="B46" s="9" t="s">
        <v>159</v>
      </c>
      <c r="C46" s="7" t="n">
        <v>2</v>
      </c>
      <c r="D46" s="8" t="s">
        <v>182</v>
      </c>
      <c r="E46" s="7" t="n">
        <v>6</v>
      </c>
      <c r="F46" s="7" t="n">
        <v>0</v>
      </c>
      <c r="G46" s="9" t="s">
        <v>161</v>
      </c>
      <c r="H46" s="9" t="s">
        <v>49</v>
      </c>
      <c r="I46" s="9" t="s">
        <v>162</v>
      </c>
      <c r="J46" s="9" t="s">
        <v>65</v>
      </c>
      <c r="K46" s="9" t="s">
        <v>58</v>
      </c>
      <c r="L46" s="11"/>
      <c r="M46" s="15" t="s">
        <v>183</v>
      </c>
      <c r="N46" s="7"/>
      <c r="O46" s="7" t="s">
        <v>138</v>
      </c>
      <c r="P46" s="9" t="s">
        <v>139</v>
      </c>
      <c r="Q46" s="9" t="s">
        <v>140</v>
      </c>
      <c r="R46" s="13" t="n">
        <f aca="false">IF(AND(ISNUMBER(E46),ISNUMBER(F46),E46&gt;0),F46/E46,"")</f>
        <v>0</v>
      </c>
    </row>
    <row r="47" customFormat="false" ht="32.25" hidden="false" customHeight="true" outlineLevel="0" collapsed="false">
      <c r="A47" s="7" t="s">
        <v>184</v>
      </c>
      <c r="B47" s="9" t="s">
        <v>159</v>
      </c>
      <c r="C47" s="7" t="n">
        <v>2</v>
      </c>
      <c r="D47" s="8" t="s">
        <v>185</v>
      </c>
      <c r="E47" s="7" t="n">
        <v>12</v>
      </c>
      <c r="F47" s="7" t="n">
        <v>0</v>
      </c>
      <c r="G47" s="9" t="s">
        <v>161</v>
      </c>
      <c r="H47" s="9" t="s">
        <v>49</v>
      </c>
      <c r="I47" s="9" t="s">
        <v>162</v>
      </c>
      <c r="J47" s="9" t="s">
        <v>65</v>
      </c>
      <c r="K47" s="9" t="s">
        <v>58</v>
      </c>
      <c r="L47" s="11"/>
      <c r="M47" s="15" t="s">
        <v>183</v>
      </c>
      <c r="N47" s="7"/>
      <c r="O47" s="7" t="s">
        <v>138</v>
      </c>
      <c r="P47" s="9" t="s">
        <v>139</v>
      </c>
      <c r="Q47" s="9" t="s">
        <v>140</v>
      </c>
      <c r="R47" s="13" t="n">
        <f aca="false">IF(AND(ISNUMBER(E47),ISNUMBER(F47),E47&gt;0),F47/E47,"")</f>
        <v>0</v>
      </c>
    </row>
    <row r="48" customFormat="false" ht="32.25" hidden="false" customHeight="true" outlineLevel="0" collapsed="false">
      <c r="A48" s="7" t="s">
        <v>186</v>
      </c>
      <c r="B48" s="9" t="s">
        <v>159</v>
      </c>
      <c r="C48" s="7" t="n">
        <v>2</v>
      </c>
      <c r="D48" s="8" t="s">
        <v>187</v>
      </c>
      <c r="E48" s="7" t="n">
        <v>112</v>
      </c>
      <c r="F48" s="7" t="n">
        <v>76</v>
      </c>
      <c r="G48" s="9" t="s">
        <v>161</v>
      </c>
      <c r="H48" s="9" t="s">
        <v>49</v>
      </c>
      <c r="I48" s="9" t="s">
        <v>162</v>
      </c>
      <c r="J48" s="9" t="s">
        <v>65</v>
      </c>
      <c r="K48" s="9" t="s">
        <v>58</v>
      </c>
      <c r="L48" s="11" t="s">
        <v>188</v>
      </c>
      <c r="M48" s="14" t="s">
        <v>189</v>
      </c>
      <c r="N48" s="7"/>
      <c r="O48" s="7" t="s">
        <v>138</v>
      </c>
      <c r="P48" s="9" t="s">
        <v>139</v>
      </c>
      <c r="Q48" s="9" t="s">
        <v>140</v>
      </c>
      <c r="R48" s="13" t="n">
        <f aca="false">IF(AND(ISNUMBER(E48),ISNUMBER(F48),E48&gt;0),F48/E48,"")</f>
        <v>0.678571428571429</v>
      </c>
    </row>
    <row r="49" customFormat="false" ht="16.5" hidden="false" customHeight="true" outlineLevel="0" collapsed="false">
      <c r="A49" s="7" t="s">
        <v>190</v>
      </c>
      <c r="B49" s="9" t="s">
        <v>159</v>
      </c>
      <c r="C49" s="7" t="n">
        <v>2</v>
      </c>
      <c r="D49" s="11" t="s">
        <v>191</v>
      </c>
      <c r="E49" s="7" t="n">
        <v>52</v>
      </c>
      <c r="F49" s="7" t="n">
        <v>0</v>
      </c>
      <c r="G49" s="9" t="s">
        <v>161</v>
      </c>
      <c r="H49" s="9" t="s">
        <v>49</v>
      </c>
      <c r="I49" s="9" t="s">
        <v>162</v>
      </c>
      <c r="J49" s="9" t="s">
        <v>65</v>
      </c>
      <c r="K49" s="9" t="s">
        <v>58</v>
      </c>
      <c r="L49" s="11"/>
      <c r="M49" s="15" t="s">
        <v>180</v>
      </c>
      <c r="N49" s="7"/>
      <c r="O49" s="7" t="s">
        <v>138</v>
      </c>
      <c r="P49" s="9" t="s">
        <v>139</v>
      </c>
      <c r="Q49" s="9" t="s">
        <v>140</v>
      </c>
      <c r="R49" s="13" t="n">
        <f aca="false">IF(AND(ISNUMBER(E49),ISNUMBER(F49),E49&gt;0),F49/E49,"")</f>
        <v>0</v>
      </c>
    </row>
    <row r="50" customFormat="false" ht="16.5" hidden="false" customHeight="true" outlineLevel="0" collapsed="false">
      <c r="A50" s="7" t="s">
        <v>192</v>
      </c>
      <c r="B50" s="9" t="s">
        <v>159</v>
      </c>
      <c r="C50" s="7" t="n">
        <v>2</v>
      </c>
      <c r="D50" s="8" t="s">
        <v>193</v>
      </c>
      <c r="E50" s="7" t="n">
        <v>2</v>
      </c>
      <c r="F50" s="7" t="n">
        <v>0</v>
      </c>
      <c r="G50" s="9" t="s">
        <v>64</v>
      </c>
      <c r="H50" s="9" t="s">
        <v>49</v>
      </c>
      <c r="I50" s="9" t="s">
        <v>162</v>
      </c>
      <c r="J50" s="9" t="s">
        <v>65</v>
      </c>
      <c r="K50" s="9" t="s">
        <v>58</v>
      </c>
      <c r="L50" s="11"/>
      <c r="M50" s="15" t="s">
        <v>177</v>
      </c>
      <c r="N50" s="7"/>
      <c r="O50" s="7" t="s">
        <v>138</v>
      </c>
      <c r="P50" s="9" t="s">
        <v>139</v>
      </c>
      <c r="Q50" s="9" t="s">
        <v>140</v>
      </c>
      <c r="R50" s="13" t="n">
        <f aca="false">IF(AND(ISNUMBER(E50),ISNUMBER(F50),E50&gt;0),F50/E50,"")</f>
        <v>0</v>
      </c>
    </row>
    <row r="51" customFormat="false" ht="16.5" hidden="false" customHeight="true" outlineLevel="0" collapsed="false">
      <c r="A51" s="7" t="s">
        <v>194</v>
      </c>
      <c r="B51" s="9" t="s">
        <v>159</v>
      </c>
      <c r="C51" s="7" t="n">
        <v>2</v>
      </c>
      <c r="D51" s="8" t="s">
        <v>195</v>
      </c>
      <c r="E51" s="7" t="n">
        <v>32</v>
      </c>
      <c r="F51" s="7" t="n">
        <v>0</v>
      </c>
      <c r="G51" s="9" t="s">
        <v>161</v>
      </c>
      <c r="H51" s="9" t="s">
        <v>49</v>
      </c>
      <c r="I51" s="9" t="s">
        <v>162</v>
      </c>
      <c r="J51" s="9" t="s">
        <v>65</v>
      </c>
      <c r="K51" s="9" t="s">
        <v>58</v>
      </c>
      <c r="L51" s="11"/>
      <c r="M51" s="15" t="s">
        <v>180</v>
      </c>
      <c r="N51" s="7"/>
      <c r="O51" s="7" t="s">
        <v>138</v>
      </c>
      <c r="P51" s="9" t="s">
        <v>139</v>
      </c>
      <c r="Q51" s="9" t="s">
        <v>140</v>
      </c>
      <c r="R51" s="13" t="n">
        <f aca="false">IF(AND(ISNUMBER(E51),ISNUMBER(F51),E51&gt;0),F51/E51,"")</f>
        <v>0</v>
      </c>
    </row>
    <row r="52" customFormat="false" ht="32.25" hidden="false" customHeight="true" outlineLevel="0" collapsed="false">
      <c r="A52" s="7" t="s">
        <v>196</v>
      </c>
      <c r="B52" s="9" t="s">
        <v>159</v>
      </c>
      <c r="C52" s="7" t="n">
        <v>2</v>
      </c>
      <c r="D52" s="11" t="s">
        <v>197</v>
      </c>
      <c r="E52" s="7" t="n">
        <v>160</v>
      </c>
      <c r="F52" s="7" t="n">
        <v>0</v>
      </c>
      <c r="G52" s="9" t="s">
        <v>161</v>
      </c>
      <c r="H52" s="9" t="s">
        <v>49</v>
      </c>
      <c r="I52" s="9" t="s">
        <v>162</v>
      </c>
      <c r="J52" s="9" t="s">
        <v>65</v>
      </c>
      <c r="K52" s="9" t="s">
        <v>58</v>
      </c>
      <c r="L52" s="11"/>
      <c r="M52" s="15" t="s">
        <v>180</v>
      </c>
      <c r="N52" s="7"/>
      <c r="O52" s="7" t="s">
        <v>138</v>
      </c>
      <c r="P52" s="9" t="s">
        <v>139</v>
      </c>
      <c r="Q52" s="9" t="s">
        <v>140</v>
      </c>
      <c r="R52" s="13" t="n">
        <f aca="false">IF(AND(ISNUMBER(E52),ISNUMBER(F52),E52&gt;0),F52/E52,"")</f>
        <v>0</v>
      </c>
    </row>
  </sheetData>
  <dataValidations count="5">
    <dataValidation allowBlank="true" errorStyle="stop" operator="between" showDropDown="false" showErrorMessage="false" showInputMessage="false" sqref="G3:G102" type="list">
      <formula1>選択肢!$A$2:$A$10</formula1>
      <formula2>0</formula2>
    </dataValidation>
    <dataValidation allowBlank="true" errorStyle="stop" operator="between" showDropDown="false" showErrorMessage="false" showInputMessage="false" sqref="H3:H102" type="list">
      <formula1>選択肢!$B$2:$B$3</formula1>
      <formula2>0</formula2>
    </dataValidation>
    <dataValidation allowBlank="true" errorStyle="stop" operator="between" showDropDown="false" showErrorMessage="false" showInputMessage="false" sqref="I3:I102" type="list">
      <formula1>選択肢!$C$2:$C$6</formula1>
      <formula2>0</formula2>
    </dataValidation>
    <dataValidation allowBlank="true" errorStyle="stop" operator="between" showDropDown="false" showErrorMessage="false" showInputMessage="false" sqref="J3:J102" type="list">
      <formula1>選択肢!$D$2:$D$5</formula1>
      <formula2>0</formula2>
    </dataValidation>
    <dataValidation allowBlank="true" errorStyle="stop" operator="between" showDropDown="false" showErrorMessage="false" showInputMessage="false" sqref="K3:K102" type="list">
      <formula1>選択肢!$E$2:$E$4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1" width="18"/>
  </cols>
  <sheetData>
    <row r="1" customFormat="false" ht="15" hidden="false" customHeight="true" outlineLevel="0" collapsed="false">
      <c r="A1" s="16" t="s">
        <v>15</v>
      </c>
      <c r="B1" s="16" t="s">
        <v>16</v>
      </c>
      <c r="C1" s="16" t="s">
        <v>17</v>
      </c>
      <c r="D1" s="16" t="s">
        <v>18</v>
      </c>
      <c r="E1" s="16" t="s">
        <v>19</v>
      </c>
    </row>
    <row r="2" customFormat="false" ht="15" hidden="false" customHeight="true" outlineLevel="0" collapsed="false">
      <c r="A2" s="17" t="s">
        <v>48</v>
      </c>
      <c r="B2" s="4" t="s">
        <v>59</v>
      </c>
      <c r="C2" s="4" t="s">
        <v>162</v>
      </c>
      <c r="D2" s="4" t="s">
        <v>49</v>
      </c>
      <c r="E2" s="4" t="s">
        <v>135</v>
      </c>
    </row>
    <row r="3" customFormat="false" ht="15" hidden="false" customHeight="true" outlineLevel="0" collapsed="false">
      <c r="A3" s="17" t="s">
        <v>161</v>
      </c>
      <c r="B3" s="4" t="s">
        <v>49</v>
      </c>
      <c r="C3" s="4" t="s">
        <v>198</v>
      </c>
      <c r="D3" s="4" t="s">
        <v>65</v>
      </c>
      <c r="E3" s="4" t="s">
        <v>58</v>
      </c>
    </row>
    <row r="4" customFormat="false" ht="15" hidden="false" customHeight="true" outlineLevel="0" collapsed="false">
      <c r="A4" s="17" t="s">
        <v>64</v>
      </c>
      <c r="C4" s="4" t="s">
        <v>75</v>
      </c>
      <c r="D4" s="4" t="s">
        <v>51</v>
      </c>
      <c r="E4" s="4" t="s">
        <v>52</v>
      </c>
    </row>
    <row r="5" customFormat="false" ht="15" hidden="false" customHeight="true" outlineLevel="0" collapsed="false">
      <c r="A5" s="17" t="s">
        <v>127</v>
      </c>
      <c r="C5" s="4" t="s">
        <v>50</v>
      </c>
      <c r="D5" s="4" t="s">
        <v>52</v>
      </c>
    </row>
    <row r="6" customFormat="false" ht="15" hidden="false" customHeight="true" outlineLevel="0" collapsed="false">
      <c r="A6" s="17" t="s">
        <v>114</v>
      </c>
      <c r="C6" s="4" t="s">
        <v>52</v>
      </c>
    </row>
    <row r="7" customFormat="false" ht="15" hidden="false" customHeight="true" outlineLevel="0" collapsed="false">
      <c r="A7" s="17" t="s">
        <v>146</v>
      </c>
    </row>
    <row r="8" customFormat="false" ht="15" hidden="false" customHeight="true" outlineLevel="0" collapsed="false">
      <c r="A8" s="17" t="s">
        <v>169</v>
      </c>
    </row>
    <row r="9" customFormat="false" ht="15" hidden="false" customHeight="false" outlineLevel="0" collapsed="false">
      <c r="A9" s="18" t="s">
        <v>58</v>
      </c>
    </row>
    <row r="10" customFormat="false" ht="15" hidden="false" customHeight="true" outlineLevel="0" collapsed="false">
      <c r="A10" s="17" t="s">
        <v>52</v>
      </c>
    </row>
    <row r="13" customFormat="false" ht="15" hidden="false" customHeight="false" outlineLevel="0" collapsed="false">
      <c r="A13" s="19" t="s">
        <v>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2"/>
    <col collapsed="false" customWidth="true" hidden="false" outlineLevel="0" max="3" min="3" style="1" width="24"/>
    <col collapsed="false" customWidth="true" hidden="false" outlineLevel="0" max="4" min="4" style="1" width="60"/>
    <col collapsed="false" customWidth="true" hidden="false" outlineLevel="0" max="5" min="5" style="1" width="34"/>
  </cols>
  <sheetData>
    <row r="1" customFormat="false" ht="16.5" hidden="false" customHeight="true" outlineLevel="0" collapsed="false">
      <c r="A1" s="20" t="s">
        <v>200</v>
      </c>
      <c r="B1" s="20" t="s">
        <v>201</v>
      </c>
      <c r="C1" s="20" t="s">
        <v>202</v>
      </c>
      <c r="D1" s="20" t="s">
        <v>203</v>
      </c>
      <c r="E1" s="20" t="s">
        <v>204</v>
      </c>
    </row>
    <row r="2" customFormat="false" ht="32.25" hidden="false" customHeight="true" outlineLevel="0" collapsed="false">
      <c r="A2" s="11" t="s">
        <v>205</v>
      </c>
      <c r="B2" s="11" t="s">
        <v>205</v>
      </c>
      <c r="C2" s="14" t="s">
        <v>206</v>
      </c>
      <c r="D2" s="14" t="s">
        <v>207</v>
      </c>
      <c r="E2" s="14" t="s">
        <v>208</v>
      </c>
    </row>
    <row r="3" customFormat="false" ht="16.5" hidden="false" customHeight="true" outlineLevel="0" collapsed="false">
      <c r="A3" s="11" t="s">
        <v>123</v>
      </c>
      <c r="B3" s="11" t="s">
        <v>13</v>
      </c>
      <c r="C3" s="11" t="s">
        <v>124</v>
      </c>
      <c r="D3" s="14" t="s">
        <v>209</v>
      </c>
      <c r="E3" s="14" t="s">
        <v>210</v>
      </c>
    </row>
    <row r="4" customFormat="false" ht="32.25" hidden="false" customHeight="true" outlineLevel="0" collapsed="false">
      <c r="A4" s="11" t="s">
        <v>211</v>
      </c>
      <c r="B4" s="11" t="s">
        <v>14</v>
      </c>
      <c r="C4" s="11" t="s">
        <v>212</v>
      </c>
      <c r="D4" s="14" t="s">
        <v>213</v>
      </c>
      <c r="E4" s="14" t="s">
        <v>214</v>
      </c>
    </row>
    <row r="5" customFormat="false" ht="32.25" hidden="false" customHeight="true" outlineLevel="0" collapsed="false">
      <c r="A5" s="14" t="s">
        <v>215</v>
      </c>
      <c r="B5" s="11" t="s">
        <v>19</v>
      </c>
      <c r="C5" s="14" t="s">
        <v>73</v>
      </c>
      <c r="D5" s="14" t="s">
        <v>216</v>
      </c>
      <c r="E5" s="14" t="s">
        <v>217</v>
      </c>
    </row>
    <row r="6" customFormat="false" ht="16.5" hidden="false" customHeight="true" outlineLevel="0" collapsed="false">
      <c r="A6" s="14" t="s">
        <v>218</v>
      </c>
      <c r="B6" s="11" t="s">
        <v>219</v>
      </c>
      <c r="C6" s="14" t="s">
        <v>218</v>
      </c>
      <c r="D6" s="14" t="s">
        <v>220</v>
      </c>
      <c r="E6" s="14" t="s">
        <v>221</v>
      </c>
    </row>
    <row r="7" customFormat="false" ht="32.25" hidden="false" customHeight="true" outlineLevel="0" collapsed="false">
      <c r="A7" s="14" t="s">
        <v>155</v>
      </c>
      <c r="B7" s="11" t="s">
        <v>222</v>
      </c>
      <c r="C7" s="14" t="s">
        <v>155</v>
      </c>
      <c r="D7" s="14" t="s">
        <v>223</v>
      </c>
      <c r="E7" s="14" t="s">
        <v>217</v>
      </c>
    </row>
    <row r="8" customFormat="false" ht="32.25" hidden="false" customHeight="true" outlineLevel="0" collapsed="false">
      <c r="A8" s="11" t="s">
        <v>132</v>
      </c>
      <c r="B8" s="11" t="s">
        <v>14</v>
      </c>
      <c r="C8" s="14" t="s">
        <v>224</v>
      </c>
      <c r="D8" s="14" t="s">
        <v>225</v>
      </c>
      <c r="E8" s="11" t="s">
        <v>226</v>
      </c>
    </row>
    <row r="9" customFormat="false" ht="16.5" hidden="false" customHeight="true" outlineLevel="0" collapsed="false">
      <c r="A9" s="11" t="s">
        <v>141</v>
      </c>
      <c r="B9" s="11" t="s">
        <v>14</v>
      </c>
      <c r="C9" s="14" t="s">
        <v>227</v>
      </c>
      <c r="D9" s="14" t="s">
        <v>228</v>
      </c>
      <c r="E9" s="14" t="s">
        <v>229</v>
      </c>
    </row>
    <row r="10" customFormat="false" ht="32.25" hidden="false" customHeight="true" outlineLevel="0" collapsed="false">
      <c r="A10" s="11" t="s">
        <v>186</v>
      </c>
      <c r="B10" s="11" t="s">
        <v>14</v>
      </c>
      <c r="C10" s="14" t="s">
        <v>230</v>
      </c>
      <c r="D10" s="14" t="s">
        <v>231</v>
      </c>
      <c r="E10" s="14" t="s">
        <v>232</v>
      </c>
    </row>
    <row r="11" customFormat="false" ht="32.25" hidden="false" customHeight="true" outlineLevel="0" collapsed="false">
      <c r="A11" s="11" t="s">
        <v>233</v>
      </c>
      <c r="B11" s="11" t="s">
        <v>14</v>
      </c>
      <c r="C11" s="11" t="s">
        <v>46</v>
      </c>
      <c r="D11" s="14" t="s">
        <v>234</v>
      </c>
      <c r="E11" s="14" t="s">
        <v>232</v>
      </c>
    </row>
    <row r="12" customFormat="false" ht="32.25" hidden="false" customHeight="true" outlineLevel="0" collapsed="false">
      <c r="A12" s="11" t="s">
        <v>235</v>
      </c>
      <c r="B12" s="11" t="s">
        <v>15</v>
      </c>
      <c r="C12" s="11" t="s">
        <v>236</v>
      </c>
      <c r="D12" s="14" t="s">
        <v>237</v>
      </c>
      <c r="E12" s="14" t="s">
        <v>238</v>
      </c>
    </row>
    <row r="13" customFormat="false" ht="16.5" hidden="false" customHeight="true" outlineLevel="0" collapsed="false">
      <c r="A13" s="11" t="s">
        <v>233</v>
      </c>
      <c r="B13" s="11" t="s">
        <v>18</v>
      </c>
      <c r="C13" s="11" t="s">
        <v>46</v>
      </c>
      <c r="D13" s="14" t="s">
        <v>239</v>
      </c>
      <c r="E13" s="14" t="s">
        <v>240</v>
      </c>
    </row>
    <row r="14" customFormat="false" ht="16.5" hidden="false" customHeight="true" outlineLevel="0" collapsed="false">
      <c r="A14" s="11" t="s">
        <v>233</v>
      </c>
      <c r="B14" s="11" t="s">
        <v>241</v>
      </c>
      <c r="C14" s="11" t="s">
        <v>46</v>
      </c>
      <c r="D14" s="14" t="s">
        <v>242</v>
      </c>
      <c r="E14" s="14" t="s">
        <v>243</v>
      </c>
    </row>
    <row r="15" customFormat="false" ht="16.5" hidden="false" customHeight="true" outlineLevel="0" collapsed="false">
      <c r="A15" s="14" t="s">
        <v>215</v>
      </c>
      <c r="B15" s="11" t="s">
        <v>241</v>
      </c>
      <c r="C15" s="14" t="s">
        <v>73</v>
      </c>
      <c r="D15" s="14" t="s">
        <v>242</v>
      </c>
      <c r="E15" s="14" t="s">
        <v>243</v>
      </c>
    </row>
    <row r="16" customFormat="false" ht="16.5" hidden="false" customHeight="true" outlineLevel="0" collapsed="false">
      <c r="A16" s="14" t="s">
        <v>244</v>
      </c>
      <c r="B16" s="11" t="s">
        <v>23</v>
      </c>
      <c r="C16" s="14" t="s">
        <v>245</v>
      </c>
      <c r="D16" s="14" t="s">
        <v>246</v>
      </c>
      <c r="E16" s="14" t="s">
        <v>247</v>
      </c>
    </row>
    <row r="17" customFormat="false" ht="16.5" hidden="false" customHeight="true" outlineLevel="0" collapsed="false">
      <c r="A17" s="14" t="s">
        <v>248</v>
      </c>
      <c r="B17" s="11" t="s">
        <v>22</v>
      </c>
      <c r="C17" s="14" t="s">
        <v>248</v>
      </c>
      <c r="D17" s="14" t="s">
        <v>249</v>
      </c>
      <c r="E17" s="14" t="s">
        <v>250</v>
      </c>
    </row>
    <row r="18" customFormat="false" ht="32.25" hidden="false" customHeight="true" outlineLevel="0" collapsed="false">
      <c r="A18" s="14" t="s">
        <v>251</v>
      </c>
      <c r="B18" s="11" t="s">
        <v>10</v>
      </c>
      <c r="C18" s="14" t="s">
        <v>252</v>
      </c>
      <c r="D18" s="14" t="s">
        <v>253</v>
      </c>
      <c r="E18" s="14" t="s">
        <v>254</v>
      </c>
    </row>
    <row r="19" customFormat="false" ht="16.5" hidden="false" customHeight="true" outlineLevel="0" collapsed="false">
      <c r="A19" s="14" t="s">
        <v>251</v>
      </c>
      <c r="B19" s="11" t="s">
        <v>17</v>
      </c>
      <c r="C19" s="14" t="s">
        <v>255</v>
      </c>
      <c r="D19" s="14" t="s">
        <v>256</v>
      </c>
      <c r="E19" s="14" t="s">
        <v>257</v>
      </c>
    </row>
    <row r="20" customFormat="false" ht="64.15" hidden="false" customHeight="false" outlineLevel="0" collapsed="false">
      <c r="A20" s="14" t="s">
        <v>258</v>
      </c>
      <c r="B20" s="11" t="s">
        <v>15</v>
      </c>
      <c r="C20" s="14" t="s">
        <v>259</v>
      </c>
      <c r="D20" s="11" t="s">
        <v>260</v>
      </c>
      <c r="E20" s="14" t="s">
        <v>261</v>
      </c>
    </row>
    <row r="21" customFormat="false" ht="17.15" hidden="false" customHeight="false" outlineLevel="0" collapsed="false">
      <c r="A21" s="14" t="s">
        <v>155</v>
      </c>
      <c r="B21" s="11" t="s">
        <v>262</v>
      </c>
      <c r="C21" s="14" t="s">
        <v>155</v>
      </c>
      <c r="D21" s="11" t="s">
        <v>263</v>
      </c>
      <c r="E21" s="14" t="s">
        <v>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4" min="2" style="1" width="14"/>
  </cols>
  <sheetData>
    <row r="1" customFormat="false" ht="15" hidden="false" customHeight="true" outlineLevel="0" collapsed="false">
      <c r="A1" s="20" t="s">
        <v>28</v>
      </c>
      <c r="B1" s="20" t="s">
        <v>264</v>
      </c>
      <c r="C1" s="20" t="s">
        <v>31</v>
      </c>
      <c r="D1" s="20" t="s">
        <v>265</v>
      </c>
    </row>
    <row r="2" customFormat="false" ht="16.5" hidden="false" customHeight="true" outlineLevel="0" collapsed="false">
      <c r="A2" s="3" t="s">
        <v>46</v>
      </c>
      <c r="B2" s="3" t="n">
        <f aca="false">COUNTIF(spots!$B$3:$B$52,A2)</f>
        <v>4</v>
      </c>
      <c r="C2" s="3" t="n">
        <f aca="false">SUMIF(spots!$B$3:$B$52,A2,spots!$E$3:$E$52)</f>
        <v>92</v>
      </c>
      <c r="D2" s="3" t="n">
        <f aca="false">SUMIF(spots!$B$3:$B$52,A2,spots!$F$3:$F$52)</f>
        <v>42</v>
      </c>
    </row>
    <row r="3" customFormat="false" ht="15" hidden="false" customHeight="true" outlineLevel="0" collapsed="false">
      <c r="A3" s="4" t="s">
        <v>73</v>
      </c>
      <c r="B3" s="3" t="n">
        <f aca="false">COUNTIF(spots!$B$3:$B$52,A3)</f>
        <v>27</v>
      </c>
      <c r="C3" s="3" t="n">
        <f aca="false">SUMIF(spots!$B$3:$B$52,A3,spots!$E$3:$E$52)</f>
        <v>3402</v>
      </c>
      <c r="D3" s="3" t="n">
        <f aca="false">SUMIF(spots!$B$3:$B$52,A3,spots!$F$3:$F$52)</f>
        <v>1320</v>
      </c>
    </row>
    <row r="4" customFormat="false" ht="15" hidden="false" customHeight="true" outlineLevel="0" collapsed="false">
      <c r="A4" s="4" t="s">
        <v>133</v>
      </c>
      <c r="B4" s="3" t="n">
        <f aca="false">COUNTIF(spots!$B$3:$B$52,A4)</f>
        <v>5</v>
      </c>
      <c r="C4" s="3" t="n">
        <f aca="false">SUMIF(spots!$B$3:$B$52,A4,spots!$E$3:$E$52)</f>
        <v>182</v>
      </c>
      <c r="D4" s="3" t="n">
        <f aca="false">SUMIF(spots!$B$3:$B$52,A4,spots!$F$3:$F$52)</f>
        <v>196</v>
      </c>
    </row>
    <row r="5" customFormat="false" ht="15" hidden="false" customHeight="true" outlineLevel="0" collapsed="false">
      <c r="A5" s="4" t="s">
        <v>154</v>
      </c>
      <c r="B5" s="3" t="n">
        <f aca="false">COUNTIF(spots!$B$3:$B$52,A5)</f>
        <v>1</v>
      </c>
      <c r="C5" s="3" t="n">
        <f aca="false">SUMIF(spots!$B$3:$B$52,A5,spots!$E$3:$E$52)</f>
        <v>60</v>
      </c>
      <c r="D5" s="3" t="n">
        <f aca="false">SUMIF(spots!$B$3:$B$52,A5,spots!$F$3:$F$52)</f>
        <v>0</v>
      </c>
    </row>
    <row r="6" customFormat="false" ht="15" hidden="false" customHeight="true" outlineLevel="0" collapsed="false">
      <c r="A6" s="4" t="s">
        <v>159</v>
      </c>
      <c r="B6" s="3" t="n">
        <f aca="false">COUNTIF(spots!$B$3:$B$52,A6)</f>
        <v>13</v>
      </c>
      <c r="C6" s="3" t="n">
        <f aca="false">SUMIF(spots!$B$3:$B$52,A6,spots!$E$3:$E$52)</f>
        <v>498</v>
      </c>
      <c r="D6" s="3" t="n">
        <f aca="false">SUMIF(spots!$B$3:$B$52,A6,spots!$F$3:$F$52)</f>
        <v>84</v>
      </c>
    </row>
    <row r="7" customFormat="false" ht="15" hidden="false" customHeight="true" outlineLevel="0" collapsed="false">
      <c r="A7" s="21" t="s">
        <v>266</v>
      </c>
      <c r="B7" s="21" t="n">
        <f aca="false">SUM(B2:B6)</f>
        <v>50</v>
      </c>
      <c r="C7" s="21" t="n">
        <f aca="false">SUM(C2:C6)</f>
        <v>4234</v>
      </c>
      <c r="D7" s="21" t="n">
        <f aca="false">SUM(D2:D6)</f>
        <v>1642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6"/>
    <col collapsed="false" customWidth="true" hidden="false" outlineLevel="0" max="3" min="3" style="1" width="10"/>
    <col collapsed="false" customWidth="true" hidden="false" outlineLevel="0" max="5" min="4" style="1" width="8"/>
    <col collapsed="false" customWidth="true" hidden="false" outlineLevel="0" max="6" min="6" style="1" width="16"/>
    <col collapsed="false" customWidth="true" hidden="false" outlineLevel="0" max="7" min="7" style="1" width="9"/>
    <col collapsed="false" customWidth="true" hidden="false" outlineLevel="0" max="8" min="8" style="1" width="12"/>
  </cols>
  <sheetData>
    <row r="1" customFormat="false" ht="15" hidden="false" customHeight="true" outlineLevel="0" collapsed="false">
      <c r="A1" s="16" t="s">
        <v>267</v>
      </c>
      <c r="B1" s="16" t="s">
        <v>268</v>
      </c>
      <c r="C1" s="16" t="s">
        <v>269</v>
      </c>
      <c r="D1" s="16" t="s">
        <v>270</v>
      </c>
      <c r="E1" s="16" t="s">
        <v>271</v>
      </c>
      <c r="F1" s="16" t="s">
        <v>272</v>
      </c>
      <c r="G1" s="16" t="s">
        <v>273</v>
      </c>
      <c r="H1" s="16" t="s">
        <v>9</v>
      </c>
    </row>
    <row r="2" customFormat="false" ht="15" hidden="false" customHeight="true" outlineLevel="0" collapsed="false">
      <c r="A2" s="22" t="s">
        <v>274</v>
      </c>
      <c r="B2" s="22" t="s">
        <v>275</v>
      </c>
      <c r="C2" s="22" t="s">
        <v>276</v>
      </c>
      <c r="D2" s="22" t="s">
        <v>277</v>
      </c>
      <c r="E2" s="22" t="s">
        <v>278</v>
      </c>
      <c r="F2" s="22" t="s">
        <v>279</v>
      </c>
      <c r="G2" s="22" t="s">
        <v>280</v>
      </c>
      <c r="H2" s="22" t="s">
        <v>281</v>
      </c>
    </row>
    <row r="3" customFormat="false" ht="15" hidden="false" customHeight="true" outlineLevel="0" collapsed="false">
      <c r="A3" s="3" t="s">
        <v>282</v>
      </c>
      <c r="B3" s="4" t="s">
        <v>283</v>
      </c>
      <c r="C3" s="3" t="s">
        <v>284</v>
      </c>
      <c r="D3" s="3" t="s">
        <v>285</v>
      </c>
      <c r="E3" s="3" t="s">
        <v>286</v>
      </c>
      <c r="F3" s="3" t="s">
        <v>287</v>
      </c>
      <c r="G3" s="3"/>
      <c r="H3" s="3"/>
    </row>
    <row r="4" customFormat="false" ht="15" hidden="false" customHeight="true" outlineLevel="0" collapsed="false">
      <c r="A4" s="3" t="s">
        <v>282</v>
      </c>
      <c r="B4" s="4" t="s">
        <v>283</v>
      </c>
      <c r="C4" s="3" t="s">
        <v>284</v>
      </c>
      <c r="D4" s="3" t="s">
        <v>288</v>
      </c>
      <c r="E4" s="3" t="s">
        <v>289</v>
      </c>
      <c r="F4" s="3" t="s">
        <v>290</v>
      </c>
      <c r="G4" s="3"/>
      <c r="H4" s="3"/>
    </row>
    <row r="5" customFormat="false" ht="15" hidden="false" customHeight="true" outlineLevel="0" collapsed="false">
      <c r="A5" s="3" t="s">
        <v>282</v>
      </c>
      <c r="B5" s="4" t="s">
        <v>283</v>
      </c>
      <c r="C5" s="3" t="s">
        <v>284</v>
      </c>
      <c r="D5" s="3" t="s">
        <v>291</v>
      </c>
      <c r="E5" s="3" t="s">
        <v>292</v>
      </c>
      <c r="F5" s="3"/>
      <c r="G5" s="3"/>
      <c r="H5" s="3"/>
    </row>
    <row r="6" customFormat="false" ht="16.5" hidden="false" customHeight="true" outlineLevel="0" collapsed="false">
      <c r="A6" s="3" t="s">
        <v>282</v>
      </c>
      <c r="B6" s="4" t="s">
        <v>283</v>
      </c>
      <c r="C6" s="3" t="s">
        <v>293</v>
      </c>
      <c r="D6" s="3" t="s">
        <v>288</v>
      </c>
      <c r="E6" s="3" t="s">
        <v>289</v>
      </c>
      <c r="F6" s="3" t="s">
        <v>290</v>
      </c>
      <c r="G6" s="3"/>
      <c r="H6" s="3"/>
    </row>
    <row r="7" customFormat="false" ht="16.5" hidden="false" customHeight="true" outlineLevel="0" collapsed="false">
      <c r="A7" s="3" t="s">
        <v>282</v>
      </c>
      <c r="B7" s="4" t="s">
        <v>283</v>
      </c>
      <c r="C7" s="3" t="s">
        <v>293</v>
      </c>
      <c r="D7" s="3" t="s">
        <v>294</v>
      </c>
      <c r="E7" s="3" t="s">
        <v>295</v>
      </c>
      <c r="F7" s="3" t="s">
        <v>296</v>
      </c>
      <c r="G7" s="3"/>
      <c r="H7" s="3"/>
    </row>
    <row r="8" customFormat="false" ht="16.5" hidden="false" customHeight="true" outlineLevel="0" collapsed="false">
      <c r="A8" s="3" t="s">
        <v>282</v>
      </c>
      <c r="B8" s="4" t="s">
        <v>283</v>
      </c>
      <c r="C8" s="3" t="s">
        <v>293</v>
      </c>
      <c r="D8" s="3" t="s">
        <v>297</v>
      </c>
      <c r="E8" s="3" t="s">
        <v>298</v>
      </c>
      <c r="F8" s="3" t="s">
        <v>299</v>
      </c>
      <c r="G8" s="3"/>
      <c r="H8" s="3"/>
    </row>
    <row r="9" customFormat="false" ht="16.5" hidden="false" customHeight="true" outlineLevel="0" collapsed="false">
      <c r="A9" s="3" t="s">
        <v>282</v>
      </c>
      <c r="B9" s="4" t="s">
        <v>283</v>
      </c>
      <c r="C9" s="3" t="s">
        <v>293</v>
      </c>
      <c r="D9" s="3" t="s">
        <v>300</v>
      </c>
      <c r="E9" s="3" t="s">
        <v>301</v>
      </c>
      <c r="F9" s="3" t="s">
        <v>302</v>
      </c>
      <c r="G9" s="3"/>
      <c r="H9" s="3"/>
    </row>
    <row r="10" customFormat="false" ht="16.5" hidden="false" customHeight="true" outlineLevel="0" collapsed="false">
      <c r="A10" s="3" t="s">
        <v>282</v>
      </c>
      <c r="B10" s="4" t="s">
        <v>283</v>
      </c>
      <c r="C10" s="3" t="s">
        <v>293</v>
      </c>
      <c r="D10" s="3" t="s">
        <v>303</v>
      </c>
      <c r="E10" s="3" t="s">
        <v>304</v>
      </c>
      <c r="F10" s="3"/>
      <c r="G10" s="3"/>
      <c r="H10" s="3"/>
    </row>
    <row r="11" customFormat="false" ht="16.5" hidden="false" customHeight="true" outlineLevel="0" collapsed="false">
      <c r="A11" s="3" t="s">
        <v>282</v>
      </c>
      <c r="B11" s="4" t="s">
        <v>283</v>
      </c>
      <c r="C11" s="3" t="s">
        <v>305</v>
      </c>
      <c r="D11" s="3" t="s">
        <v>300</v>
      </c>
      <c r="E11" s="3" t="s">
        <v>301</v>
      </c>
      <c r="F11" s="3" t="s">
        <v>302</v>
      </c>
      <c r="G11" s="3"/>
      <c r="H11" s="3"/>
    </row>
    <row r="12" customFormat="false" ht="15" hidden="false" customHeight="true" outlineLevel="0" collapsed="false">
      <c r="A12" s="3" t="s">
        <v>282</v>
      </c>
      <c r="B12" s="4" t="s">
        <v>283</v>
      </c>
      <c r="C12" s="3" t="s">
        <v>306</v>
      </c>
      <c r="D12" s="3" t="s">
        <v>285</v>
      </c>
      <c r="E12" s="3" t="s">
        <v>286</v>
      </c>
      <c r="F12" s="3" t="s">
        <v>287</v>
      </c>
      <c r="G12" s="3"/>
      <c r="H12" s="3"/>
    </row>
    <row r="13" customFormat="false" ht="15" hidden="false" customHeight="true" outlineLevel="0" collapsed="false">
      <c r="A13" s="3" t="s">
        <v>282</v>
      </c>
      <c r="B13" s="4" t="s">
        <v>283</v>
      </c>
      <c r="C13" s="3" t="s">
        <v>306</v>
      </c>
      <c r="D13" s="3" t="s">
        <v>294</v>
      </c>
      <c r="E13" s="3" t="s">
        <v>295</v>
      </c>
      <c r="F13" s="3" t="s">
        <v>296</v>
      </c>
      <c r="G13" s="3"/>
      <c r="H13" s="3"/>
    </row>
    <row r="14" customFormat="false" ht="15" hidden="false" customHeight="true" outlineLevel="0" collapsed="false">
      <c r="A14" s="3" t="s">
        <v>282</v>
      </c>
      <c r="B14" s="4" t="s">
        <v>283</v>
      </c>
      <c r="C14" s="3" t="s">
        <v>306</v>
      </c>
      <c r="D14" s="3" t="s">
        <v>297</v>
      </c>
      <c r="E14" s="3" t="s">
        <v>298</v>
      </c>
      <c r="F14" s="3" t="s">
        <v>299</v>
      </c>
      <c r="G14" s="3"/>
      <c r="H14" s="3"/>
    </row>
    <row r="15" customFormat="false" ht="15" hidden="false" customHeight="true" outlineLevel="0" collapsed="false">
      <c r="A15" s="3" t="s">
        <v>282</v>
      </c>
      <c r="B15" s="4" t="s">
        <v>283</v>
      </c>
      <c r="C15" s="3" t="s">
        <v>306</v>
      </c>
      <c r="D15" s="3" t="s">
        <v>300</v>
      </c>
      <c r="E15" s="3" t="s">
        <v>301</v>
      </c>
      <c r="F15" s="3" t="s">
        <v>302</v>
      </c>
      <c r="G15" s="3"/>
      <c r="H15" s="3"/>
    </row>
    <row r="16" customFormat="false" ht="15" hidden="false" customHeight="true" outlineLevel="0" collapsed="false">
      <c r="A16" s="3" t="s">
        <v>282</v>
      </c>
      <c r="B16" s="4" t="s">
        <v>283</v>
      </c>
      <c r="C16" s="3" t="s">
        <v>307</v>
      </c>
      <c r="D16" s="3" t="s">
        <v>288</v>
      </c>
      <c r="E16" s="3" t="s">
        <v>289</v>
      </c>
      <c r="F16" s="3" t="s">
        <v>290</v>
      </c>
      <c r="G16" s="3"/>
      <c r="H16" s="3"/>
    </row>
    <row r="17" customFormat="false" ht="16.5" hidden="false" customHeight="true" outlineLevel="0" collapsed="false">
      <c r="A17" s="3" t="s">
        <v>282</v>
      </c>
      <c r="B17" s="4" t="s">
        <v>283</v>
      </c>
      <c r="C17" s="3" t="s">
        <v>308</v>
      </c>
      <c r="D17" s="3" t="s">
        <v>285</v>
      </c>
      <c r="E17" s="3" t="s">
        <v>286</v>
      </c>
      <c r="F17" s="3" t="s">
        <v>287</v>
      </c>
      <c r="G17" s="3"/>
      <c r="H17" s="3"/>
    </row>
    <row r="18" customFormat="false" ht="16.5" hidden="false" customHeight="true" outlineLevel="0" collapsed="false">
      <c r="A18" s="3" t="s">
        <v>282</v>
      </c>
      <c r="B18" s="4" t="s">
        <v>283</v>
      </c>
      <c r="C18" s="3" t="s">
        <v>308</v>
      </c>
      <c r="D18" s="3" t="s">
        <v>288</v>
      </c>
      <c r="E18" s="3" t="s">
        <v>289</v>
      </c>
      <c r="F18" s="3" t="s">
        <v>290</v>
      </c>
      <c r="G18" s="3"/>
      <c r="H18" s="3"/>
    </row>
    <row r="19" customFormat="false" ht="16.5" hidden="false" customHeight="true" outlineLevel="0" collapsed="false">
      <c r="A19" s="3" t="s">
        <v>282</v>
      </c>
      <c r="B19" s="4" t="s">
        <v>283</v>
      </c>
      <c r="C19" s="3" t="s">
        <v>308</v>
      </c>
      <c r="D19" s="3" t="s">
        <v>294</v>
      </c>
      <c r="E19" s="3" t="s">
        <v>295</v>
      </c>
      <c r="F19" s="3" t="s">
        <v>296</v>
      </c>
      <c r="G19" s="3"/>
      <c r="H19" s="3"/>
    </row>
    <row r="20" customFormat="false" ht="16.5" hidden="false" customHeight="true" outlineLevel="0" collapsed="false">
      <c r="A20" s="3" t="s">
        <v>282</v>
      </c>
      <c r="B20" s="4" t="s">
        <v>283</v>
      </c>
      <c r="C20" s="3" t="s">
        <v>308</v>
      </c>
      <c r="D20" s="3" t="s">
        <v>297</v>
      </c>
      <c r="E20" s="3" t="s">
        <v>309</v>
      </c>
      <c r="F20" s="3" t="s">
        <v>299</v>
      </c>
      <c r="G20" s="3"/>
      <c r="H20" s="3"/>
    </row>
    <row r="21" customFormat="false" ht="16.5" hidden="false" customHeight="true" outlineLevel="0" collapsed="false">
      <c r="A21" s="3" t="s">
        <v>282</v>
      </c>
      <c r="B21" s="4" t="s">
        <v>283</v>
      </c>
      <c r="C21" s="3" t="s">
        <v>310</v>
      </c>
      <c r="D21" s="3" t="s">
        <v>311</v>
      </c>
      <c r="E21" s="3" t="s">
        <v>298</v>
      </c>
      <c r="F21" s="3" t="s">
        <v>299</v>
      </c>
      <c r="G21" s="3"/>
      <c r="H21" s="3"/>
    </row>
    <row r="22" customFormat="false" ht="16.5" hidden="false" customHeight="true" outlineLevel="0" collapsed="false">
      <c r="A22" s="3" t="s">
        <v>282</v>
      </c>
      <c r="B22" s="4" t="s">
        <v>283</v>
      </c>
      <c r="C22" s="3" t="s">
        <v>310</v>
      </c>
      <c r="D22" s="3" t="s">
        <v>300</v>
      </c>
      <c r="E22" s="3" t="s">
        <v>301</v>
      </c>
      <c r="F22" s="3" t="s">
        <v>302</v>
      </c>
      <c r="G22" s="3"/>
      <c r="H22" s="3"/>
    </row>
    <row r="23" customFormat="false" ht="15" hidden="false" customHeight="true" outlineLevel="0" collapsed="false">
      <c r="A23" s="3" t="s">
        <v>282</v>
      </c>
      <c r="B23" s="4" t="s">
        <v>283</v>
      </c>
      <c r="C23" s="3" t="s">
        <v>312</v>
      </c>
      <c r="D23" s="3" t="s">
        <v>297</v>
      </c>
      <c r="E23" s="3" t="s">
        <v>298</v>
      </c>
      <c r="F23" s="3" t="s">
        <v>299</v>
      </c>
      <c r="G23" s="3"/>
      <c r="H23" s="3"/>
    </row>
    <row r="24" customFormat="false" ht="15" hidden="false" customHeight="true" outlineLevel="0" collapsed="false">
      <c r="A24" s="3" t="s">
        <v>282</v>
      </c>
      <c r="B24" s="4" t="s">
        <v>283</v>
      </c>
      <c r="C24" s="3" t="s">
        <v>312</v>
      </c>
      <c r="D24" s="3" t="s">
        <v>300</v>
      </c>
      <c r="E24" s="3" t="s">
        <v>301</v>
      </c>
      <c r="F24" s="3" t="s">
        <v>302</v>
      </c>
      <c r="G24" s="3"/>
      <c r="H24" s="3"/>
    </row>
    <row r="25" customFormat="false" ht="15" hidden="false" customHeight="true" outlineLevel="0" collapsed="false">
      <c r="A25" s="3" t="s">
        <v>282</v>
      </c>
      <c r="B25" s="4" t="s">
        <v>283</v>
      </c>
      <c r="C25" s="3" t="s">
        <v>313</v>
      </c>
      <c r="D25" s="3" t="s">
        <v>285</v>
      </c>
      <c r="E25" s="3" t="s">
        <v>286</v>
      </c>
      <c r="F25" s="3" t="s">
        <v>287</v>
      </c>
      <c r="G25" s="3"/>
      <c r="H25" s="3"/>
    </row>
    <row r="26" customFormat="false" ht="15" hidden="false" customHeight="true" outlineLevel="0" collapsed="false">
      <c r="A26" s="3" t="s">
        <v>282</v>
      </c>
      <c r="B26" s="4" t="s">
        <v>283</v>
      </c>
      <c r="C26" s="3" t="s">
        <v>313</v>
      </c>
      <c r="D26" s="3" t="s">
        <v>288</v>
      </c>
      <c r="E26" s="3" t="s">
        <v>289</v>
      </c>
      <c r="F26" s="3" t="s">
        <v>290</v>
      </c>
      <c r="G26" s="3"/>
      <c r="H26" s="3"/>
    </row>
    <row r="27" customFormat="false" ht="15" hidden="false" customHeight="true" outlineLevel="0" collapsed="false">
      <c r="A27" s="3" t="s">
        <v>282</v>
      </c>
      <c r="B27" s="4" t="s">
        <v>283</v>
      </c>
      <c r="C27" s="3" t="s">
        <v>314</v>
      </c>
      <c r="D27" s="3" t="s">
        <v>285</v>
      </c>
      <c r="E27" s="3" t="s">
        <v>289</v>
      </c>
      <c r="F27" s="3" t="s">
        <v>315</v>
      </c>
      <c r="G27" s="3"/>
      <c r="H27" s="3"/>
    </row>
    <row r="28" customFormat="false" ht="15" hidden="false" customHeight="true" outlineLevel="0" collapsed="false">
      <c r="A28" s="3" t="s">
        <v>282</v>
      </c>
      <c r="B28" s="4" t="s">
        <v>283</v>
      </c>
      <c r="C28" s="3" t="s">
        <v>314</v>
      </c>
      <c r="D28" s="3" t="s">
        <v>294</v>
      </c>
      <c r="E28" s="3" t="s">
        <v>295</v>
      </c>
      <c r="F28" s="3" t="s">
        <v>296</v>
      </c>
      <c r="G28" s="3"/>
      <c r="H28" s="3"/>
    </row>
    <row r="29" customFormat="false" ht="15" hidden="false" customHeight="true" outlineLevel="0" collapsed="false">
      <c r="A29" s="3" t="s">
        <v>282</v>
      </c>
      <c r="B29" s="4" t="s">
        <v>283</v>
      </c>
      <c r="C29" s="3" t="s">
        <v>316</v>
      </c>
      <c r="D29" s="3" t="s">
        <v>294</v>
      </c>
      <c r="E29" s="3" t="s">
        <v>295</v>
      </c>
      <c r="F29" s="3" t="s">
        <v>296</v>
      </c>
      <c r="G29" s="3"/>
      <c r="H29" s="3"/>
    </row>
    <row r="30" customFormat="false" ht="15" hidden="false" customHeight="true" outlineLevel="0" collapsed="false">
      <c r="A30" s="3" t="s">
        <v>282</v>
      </c>
      <c r="B30" s="4" t="s">
        <v>283</v>
      </c>
      <c r="C30" s="3" t="s">
        <v>316</v>
      </c>
      <c r="D30" s="3" t="s">
        <v>297</v>
      </c>
      <c r="E30" s="3" t="s">
        <v>291</v>
      </c>
      <c r="F30" s="3" t="s">
        <v>317</v>
      </c>
      <c r="G30" s="3"/>
      <c r="H30" s="3"/>
    </row>
    <row r="31" customFormat="false" ht="15" hidden="false" customHeight="true" outlineLevel="0" collapsed="false">
      <c r="A31" s="3" t="s">
        <v>282</v>
      </c>
      <c r="B31" s="4" t="s">
        <v>283</v>
      </c>
      <c r="C31" s="3" t="s">
        <v>318</v>
      </c>
      <c r="D31" s="3" t="s">
        <v>285</v>
      </c>
      <c r="E31" s="3" t="s">
        <v>286</v>
      </c>
      <c r="F31" s="3" t="s">
        <v>287</v>
      </c>
      <c r="G31" s="3"/>
      <c r="H31" s="3"/>
    </row>
    <row r="32" customFormat="false" ht="15" hidden="false" customHeight="true" outlineLevel="0" collapsed="false">
      <c r="A32" s="3" t="s">
        <v>282</v>
      </c>
      <c r="B32" s="4" t="s">
        <v>283</v>
      </c>
      <c r="C32" s="3" t="s">
        <v>318</v>
      </c>
      <c r="D32" s="3" t="s">
        <v>288</v>
      </c>
      <c r="E32" s="3" t="s">
        <v>289</v>
      </c>
      <c r="F32" s="3" t="s">
        <v>290</v>
      </c>
      <c r="G32" s="3"/>
      <c r="H32" s="3"/>
    </row>
    <row r="33" customFormat="false" ht="15" hidden="false" customHeight="true" outlineLevel="0" collapsed="false">
      <c r="A33" s="3" t="s">
        <v>282</v>
      </c>
      <c r="B33" s="4" t="s">
        <v>283</v>
      </c>
      <c r="C33" s="3" t="s">
        <v>318</v>
      </c>
      <c r="D33" s="3" t="s">
        <v>294</v>
      </c>
      <c r="E33" s="3" t="s">
        <v>295</v>
      </c>
      <c r="F33" s="3" t="s">
        <v>296</v>
      </c>
      <c r="G33" s="4" t="s">
        <v>135</v>
      </c>
      <c r="H33" s="3"/>
    </row>
    <row r="34" customFormat="false" ht="15" hidden="false" customHeight="true" outlineLevel="0" collapsed="false">
      <c r="A34" s="3" t="s">
        <v>282</v>
      </c>
      <c r="B34" s="4" t="s">
        <v>283</v>
      </c>
      <c r="C34" s="3" t="s">
        <v>318</v>
      </c>
      <c r="D34" s="3" t="s">
        <v>300</v>
      </c>
      <c r="E34" s="3" t="s">
        <v>301</v>
      </c>
      <c r="F34" s="3" t="s">
        <v>302</v>
      </c>
      <c r="G34" s="4" t="s">
        <v>135</v>
      </c>
      <c r="H34" s="3"/>
    </row>
    <row r="35" customFormat="false" ht="15" hidden="false" customHeight="true" outlineLevel="0" collapsed="false">
      <c r="A35" s="3" t="s">
        <v>282</v>
      </c>
      <c r="B35" s="4" t="s">
        <v>283</v>
      </c>
      <c r="C35" s="3" t="s">
        <v>319</v>
      </c>
      <c r="D35" s="3" t="s">
        <v>285</v>
      </c>
      <c r="E35" s="3" t="s">
        <v>301</v>
      </c>
      <c r="F35" s="3" t="s">
        <v>320</v>
      </c>
      <c r="G35" s="3"/>
      <c r="H35" s="3"/>
    </row>
    <row r="36" customFormat="false" ht="15" hidden="false" customHeight="true" outlineLevel="0" collapsed="false">
      <c r="A36" s="3" t="s">
        <v>282</v>
      </c>
      <c r="B36" s="4" t="s">
        <v>283</v>
      </c>
      <c r="C36" s="3" t="s">
        <v>321</v>
      </c>
      <c r="D36" s="3" t="s">
        <v>285</v>
      </c>
      <c r="E36" s="3" t="s">
        <v>286</v>
      </c>
      <c r="F36" s="3" t="s">
        <v>287</v>
      </c>
      <c r="G36" s="3"/>
      <c r="H36" s="3"/>
    </row>
    <row r="37" customFormat="false" ht="15" hidden="false" customHeight="true" outlineLevel="0" collapsed="false">
      <c r="A37" s="3" t="s">
        <v>282</v>
      </c>
      <c r="B37" s="4" t="s">
        <v>283</v>
      </c>
      <c r="C37" s="3" t="s">
        <v>321</v>
      </c>
      <c r="D37" s="3" t="s">
        <v>288</v>
      </c>
      <c r="E37" s="3" t="s">
        <v>289</v>
      </c>
      <c r="F37" s="3" t="s">
        <v>290</v>
      </c>
      <c r="G37" s="3"/>
      <c r="H37" s="3"/>
    </row>
    <row r="38" customFormat="false" ht="15" hidden="false" customHeight="true" outlineLevel="0" collapsed="false">
      <c r="A38" s="3" t="s">
        <v>282</v>
      </c>
      <c r="B38" s="4" t="s">
        <v>283</v>
      </c>
      <c r="C38" s="3" t="s">
        <v>321</v>
      </c>
      <c r="D38" s="3" t="s">
        <v>294</v>
      </c>
      <c r="E38" s="3" t="s">
        <v>295</v>
      </c>
      <c r="F38" s="3" t="s">
        <v>296</v>
      </c>
      <c r="G38" s="3"/>
      <c r="H38" s="3"/>
    </row>
    <row r="39" customFormat="false" ht="15" hidden="false" customHeight="true" outlineLevel="0" collapsed="false">
      <c r="A39" s="3" t="s">
        <v>282</v>
      </c>
      <c r="B39" s="4" t="s">
        <v>283</v>
      </c>
      <c r="C39" s="3" t="s">
        <v>321</v>
      </c>
      <c r="D39" s="3" t="s">
        <v>297</v>
      </c>
      <c r="E39" s="3" t="s">
        <v>298</v>
      </c>
      <c r="F39" s="3" t="s">
        <v>299</v>
      </c>
      <c r="G39" s="3"/>
      <c r="H39" s="3"/>
    </row>
    <row r="40" customFormat="false" ht="15" hidden="false" customHeight="true" outlineLevel="0" collapsed="false">
      <c r="A40" s="3" t="s">
        <v>282</v>
      </c>
      <c r="B40" s="4" t="s">
        <v>283</v>
      </c>
      <c r="C40" s="3" t="s">
        <v>321</v>
      </c>
      <c r="D40" s="3" t="s">
        <v>300</v>
      </c>
      <c r="E40" s="3" t="s">
        <v>301</v>
      </c>
      <c r="F40" s="3" t="s">
        <v>302</v>
      </c>
      <c r="G40" s="3"/>
      <c r="H40" s="3"/>
    </row>
    <row r="41" customFormat="false" ht="15" hidden="false" customHeight="true" outlineLevel="0" collapsed="false">
      <c r="A41" s="3" t="s">
        <v>282</v>
      </c>
      <c r="B41" s="4" t="s">
        <v>283</v>
      </c>
      <c r="C41" s="3" t="s">
        <v>321</v>
      </c>
      <c r="D41" s="3" t="s">
        <v>291</v>
      </c>
      <c r="E41" s="3" t="s">
        <v>292</v>
      </c>
      <c r="F41" s="3"/>
      <c r="G41" s="3"/>
      <c r="H41" s="3"/>
    </row>
    <row r="42" customFormat="false" ht="15" hidden="false" customHeight="true" outlineLevel="0" collapsed="false">
      <c r="A42" s="3" t="s">
        <v>282</v>
      </c>
      <c r="B42" s="4" t="s">
        <v>283</v>
      </c>
      <c r="C42" s="3" t="s">
        <v>322</v>
      </c>
      <c r="D42" s="3" t="s">
        <v>285</v>
      </c>
      <c r="E42" s="3" t="s">
        <v>286</v>
      </c>
      <c r="F42" s="3" t="s">
        <v>287</v>
      </c>
      <c r="G42" s="3"/>
      <c r="H42" s="3"/>
    </row>
    <row r="43" customFormat="false" ht="15" hidden="false" customHeight="true" outlineLevel="0" collapsed="false">
      <c r="A43" s="3" t="s">
        <v>282</v>
      </c>
      <c r="B43" s="4" t="s">
        <v>283</v>
      </c>
      <c r="C43" s="3" t="s">
        <v>322</v>
      </c>
      <c r="D43" s="3" t="s">
        <v>288</v>
      </c>
      <c r="E43" s="3" t="s">
        <v>289</v>
      </c>
      <c r="F43" s="3" t="s">
        <v>290</v>
      </c>
      <c r="G43" s="3"/>
      <c r="H43" s="3"/>
    </row>
    <row r="44" customFormat="false" ht="15" hidden="false" customHeight="true" outlineLevel="0" collapsed="false">
      <c r="A44" s="3" t="s">
        <v>282</v>
      </c>
      <c r="B44" s="4" t="s">
        <v>283</v>
      </c>
      <c r="C44" s="3" t="s">
        <v>322</v>
      </c>
      <c r="D44" s="3" t="s">
        <v>294</v>
      </c>
      <c r="E44" s="3" t="s">
        <v>295</v>
      </c>
      <c r="F44" s="3" t="s">
        <v>296</v>
      </c>
      <c r="G44" s="3"/>
      <c r="H44" s="3"/>
    </row>
    <row r="45" customFormat="false" ht="15" hidden="false" customHeight="true" outlineLevel="0" collapsed="false">
      <c r="A45" s="3" t="s">
        <v>282</v>
      </c>
      <c r="B45" s="4" t="s">
        <v>283</v>
      </c>
      <c r="C45" s="3" t="s">
        <v>322</v>
      </c>
      <c r="D45" s="3" t="s">
        <v>297</v>
      </c>
      <c r="E45" s="3" t="s">
        <v>298</v>
      </c>
      <c r="F45" s="3" t="s">
        <v>299</v>
      </c>
      <c r="G45" s="3"/>
      <c r="H45" s="3"/>
    </row>
    <row r="46" customFormat="false" ht="15" hidden="false" customHeight="true" outlineLevel="0" collapsed="false">
      <c r="A46" s="3" t="s">
        <v>282</v>
      </c>
      <c r="B46" s="4" t="s">
        <v>283</v>
      </c>
      <c r="C46" s="3" t="s">
        <v>322</v>
      </c>
      <c r="D46" s="3" t="s">
        <v>300</v>
      </c>
      <c r="E46" s="3" t="s">
        <v>323</v>
      </c>
      <c r="F46" s="3" t="s">
        <v>302</v>
      </c>
      <c r="G46" s="3"/>
      <c r="H46" s="3"/>
    </row>
    <row r="47" customFormat="false" ht="15" hidden="false" customHeight="true" outlineLevel="0" collapsed="false">
      <c r="A47" s="3" t="s">
        <v>282</v>
      </c>
      <c r="B47" s="4" t="s">
        <v>283</v>
      </c>
      <c r="C47" s="3" t="s">
        <v>324</v>
      </c>
      <c r="D47" s="3" t="s">
        <v>285</v>
      </c>
      <c r="E47" s="3" t="s">
        <v>286</v>
      </c>
      <c r="F47" s="3" t="s">
        <v>287</v>
      </c>
      <c r="G47" s="3"/>
      <c r="H47" s="3"/>
    </row>
    <row r="48" customFormat="false" ht="15" hidden="false" customHeight="true" outlineLevel="0" collapsed="false">
      <c r="A48" s="3" t="s">
        <v>282</v>
      </c>
      <c r="B48" s="4" t="s">
        <v>283</v>
      </c>
      <c r="C48" s="3" t="s">
        <v>324</v>
      </c>
      <c r="D48" s="3" t="s">
        <v>288</v>
      </c>
      <c r="E48" s="3" t="s">
        <v>289</v>
      </c>
      <c r="F48" s="3" t="s">
        <v>290</v>
      </c>
      <c r="G48" s="3"/>
      <c r="H48" s="3"/>
    </row>
    <row r="49" customFormat="false" ht="15" hidden="false" customHeight="true" outlineLevel="0" collapsed="false">
      <c r="A49" s="3" t="s">
        <v>282</v>
      </c>
      <c r="B49" s="4" t="s">
        <v>283</v>
      </c>
      <c r="C49" s="3" t="s">
        <v>324</v>
      </c>
      <c r="D49" s="3" t="s">
        <v>294</v>
      </c>
      <c r="E49" s="3" t="s">
        <v>295</v>
      </c>
      <c r="F49" s="3" t="s">
        <v>296</v>
      </c>
      <c r="G49" s="3"/>
      <c r="H49" s="3"/>
    </row>
    <row r="50" customFormat="false" ht="15" hidden="false" customHeight="true" outlineLevel="0" collapsed="false">
      <c r="A50" s="3" t="s">
        <v>282</v>
      </c>
      <c r="B50" s="4" t="s">
        <v>283</v>
      </c>
      <c r="C50" s="3" t="s">
        <v>324</v>
      </c>
      <c r="D50" s="3" t="s">
        <v>297</v>
      </c>
      <c r="E50" s="3" t="s">
        <v>298</v>
      </c>
      <c r="F50" s="3" t="s">
        <v>299</v>
      </c>
      <c r="G50" s="4" t="s">
        <v>135</v>
      </c>
      <c r="H50" s="3"/>
    </row>
    <row r="51" customFormat="false" ht="15" hidden="false" customHeight="true" outlineLevel="0" collapsed="false">
      <c r="A51" s="3" t="s">
        <v>282</v>
      </c>
      <c r="B51" s="4" t="s">
        <v>283</v>
      </c>
      <c r="C51" s="3" t="s">
        <v>324</v>
      </c>
      <c r="D51" s="3" t="s">
        <v>300</v>
      </c>
      <c r="E51" s="3" t="s">
        <v>301</v>
      </c>
      <c r="F51" s="3" t="s">
        <v>302</v>
      </c>
      <c r="G51" s="4" t="s">
        <v>135</v>
      </c>
      <c r="H51" s="3"/>
    </row>
    <row r="52" customFormat="false" ht="15" hidden="false" customHeight="true" outlineLevel="0" collapsed="false">
      <c r="A52" s="3" t="s">
        <v>282</v>
      </c>
      <c r="B52" s="4" t="s">
        <v>283</v>
      </c>
      <c r="C52" s="3" t="s">
        <v>325</v>
      </c>
      <c r="D52" s="3" t="s">
        <v>285</v>
      </c>
      <c r="E52" s="3" t="s">
        <v>286</v>
      </c>
      <c r="F52" s="3" t="s">
        <v>287</v>
      </c>
      <c r="G52" s="3"/>
      <c r="H52" s="3"/>
    </row>
    <row r="53" customFormat="false" ht="15" hidden="false" customHeight="true" outlineLevel="0" collapsed="false">
      <c r="A53" s="3" t="s">
        <v>282</v>
      </c>
      <c r="B53" s="4" t="s">
        <v>283</v>
      </c>
      <c r="C53" s="3" t="s">
        <v>325</v>
      </c>
      <c r="D53" s="3" t="s">
        <v>288</v>
      </c>
      <c r="E53" s="3" t="s">
        <v>289</v>
      </c>
      <c r="F53" s="3" t="s">
        <v>290</v>
      </c>
      <c r="G53" s="3"/>
      <c r="H53" s="3"/>
    </row>
    <row r="54" customFormat="false" ht="15" hidden="false" customHeight="true" outlineLevel="0" collapsed="false">
      <c r="A54" s="3" t="s">
        <v>282</v>
      </c>
      <c r="B54" s="4" t="s">
        <v>283</v>
      </c>
      <c r="C54" s="3" t="s">
        <v>325</v>
      </c>
      <c r="D54" s="3" t="s">
        <v>294</v>
      </c>
      <c r="E54" s="3" t="s">
        <v>295</v>
      </c>
      <c r="F54" s="3" t="s">
        <v>296</v>
      </c>
      <c r="G54" s="3"/>
      <c r="H54" s="3"/>
    </row>
    <row r="55" customFormat="false" ht="15" hidden="false" customHeight="true" outlineLevel="0" collapsed="false">
      <c r="A55" s="3" t="s">
        <v>282</v>
      </c>
      <c r="B55" s="4" t="s">
        <v>283</v>
      </c>
      <c r="C55" s="3" t="s">
        <v>325</v>
      </c>
      <c r="D55" s="3" t="s">
        <v>297</v>
      </c>
      <c r="E55" s="3" t="s">
        <v>298</v>
      </c>
      <c r="F55" s="3" t="s">
        <v>299</v>
      </c>
      <c r="G55" s="3"/>
      <c r="H55" s="3"/>
    </row>
    <row r="56" customFormat="false" ht="15" hidden="false" customHeight="true" outlineLevel="0" collapsed="false">
      <c r="A56" s="3" t="s">
        <v>282</v>
      </c>
      <c r="B56" s="4" t="s">
        <v>283</v>
      </c>
      <c r="C56" s="3" t="s">
        <v>325</v>
      </c>
      <c r="D56" s="3" t="s">
        <v>300</v>
      </c>
      <c r="E56" s="3" t="s">
        <v>301</v>
      </c>
      <c r="F56" s="3" t="s">
        <v>302</v>
      </c>
      <c r="G56" s="3"/>
      <c r="H56" s="3"/>
    </row>
    <row r="57" customFormat="false" ht="15" hidden="false" customHeight="true" outlineLevel="0" collapsed="false">
      <c r="A57" s="3" t="s">
        <v>282</v>
      </c>
      <c r="B57" s="4" t="s">
        <v>283</v>
      </c>
      <c r="C57" s="3" t="s">
        <v>326</v>
      </c>
      <c r="D57" s="3" t="s">
        <v>285</v>
      </c>
      <c r="E57" s="3" t="s">
        <v>286</v>
      </c>
      <c r="F57" s="3" t="s">
        <v>287</v>
      </c>
      <c r="G57" s="4" t="s">
        <v>135</v>
      </c>
      <c r="H57" s="3"/>
    </row>
    <row r="58" customFormat="false" ht="15" hidden="false" customHeight="true" outlineLevel="0" collapsed="false">
      <c r="A58" s="3" t="s">
        <v>282</v>
      </c>
      <c r="B58" s="4" t="s">
        <v>283</v>
      </c>
      <c r="C58" s="3" t="s">
        <v>326</v>
      </c>
      <c r="D58" s="3" t="s">
        <v>294</v>
      </c>
      <c r="E58" s="3" t="s">
        <v>295</v>
      </c>
      <c r="F58" s="3" t="s">
        <v>296</v>
      </c>
      <c r="G58" s="3"/>
      <c r="H58" s="3"/>
    </row>
    <row r="59" customFormat="false" ht="15" hidden="false" customHeight="true" outlineLevel="0" collapsed="false">
      <c r="A59" s="3" t="s">
        <v>282</v>
      </c>
      <c r="B59" s="4" t="s">
        <v>283</v>
      </c>
      <c r="C59" s="3" t="s">
        <v>326</v>
      </c>
      <c r="D59" s="3" t="s">
        <v>297</v>
      </c>
      <c r="E59" s="3" t="s">
        <v>298</v>
      </c>
      <c r="F59" s="3" t="s">
        <v>299</v>
      </c>
      <c r="G59" s="3"/>
      <c r="H59" s="3"/>
    </row>
    <row r="60" customFormat="false" ht="15" hidden="false" customHeight="true" outlineLevel="0" collapsed="false">
      <c r="A60" s="3" t="s">
        <v>282</v>
      </c>
      <c r="B60" s="4" t="s">
        <v>283</v>
      </c>
      <c r="C60" s="3" t="s">
        <v>326</v>
      </c>
      <c r="D60" s="3" t="s">
        <v>300</v>
      </c>
      <c r="E60" s="3" t="s">
        <v>301</v>
      </c>
      <c r="F60" s="3" t="s">
        <v>302</v>
      </c>
      <c r="G60" s="3"/>
      <c r="H60" s="3"/>
    </row>
    <row r="61" customFormat="false" ht="15" hidden="false" customHeight="true" outlineLevel="0" collapsed="false">
      <c r="A61" s="3" t="s">
        <v>282</v>
      </c>
      <c r="B61" s="4" t="s">
        <v>283</v>
      </c>
      <c r="C61" s="3" t="s">
        <v>327</v>
      </c>
      <c r="D61" s="3" t="s">
        <v>285</v>
      </c>
      <c r="E61" s="3" t="s">
        <v>286</v>
      </c>
      <c r="F61" s="3" t="s">
        <v>287</v>
      </c>
      <c r="G61" s="3"/>
      <c r="H61" s="3"/>
    </row>
    <row r="62" customFormat="false" ht="15" hidden="false" customHeight="true" outlineLevel="0" collapsed="false">
      <c r="A62" s="3" t="s">
        <v>282</v>
      </c>
      <c r="B62" s="4" t="s">
        <v>283</v>
      </c>
      <c r="C62" s="3" t="s">
        <v>327</v>
      </c>
      <c r="D62" s="3" t="s">
        <v>288</v>
      </c>
      <c r="E62" s="3" t="s">
        <v>289</v>
      </c>
      <c r="F62" s="3" t="s">
        <v>290</v>
      </c>
      <c r="G62" s="3"/>
      <c r="H62" s="3"/>
    </row>
    <row r="63" customFormat="false" ht="15" hidden="false" customHeight="true" outlineLevel="0" collapsed="false">
      <c r="A63" s="3" t="s">
        <v>282</v>
      </c>
      <c r="B63" s="4" t="s">
        <v>283</v>
      </c>
      <c r="C63" s="3" t="s">
        <v>327</v>
      </c>
      <c r="D63" s="3" t="s">
        <v>294</v>
      </c>
      <c r="E63" s="3" t="s">
        <v>295</v>
      </c>
      <c r="F63" s="3" t="s">
        <v>296</v>
      </c>
      <c r="G63" s="3"/>
      <c r="H63" s="3"/>
    </row>
    <row r="64" customFormat="false" ht="15" hidden="false" customHeight="true" outlineLevel="0" collapsed="false">
      <c r="A64" s="3" t="s">
        <v>282</v>
      </c>
      <c r="B64" s="4" t="s">
        <v>283</v>
      </c>
      <c r="C64" s="3" t="s">
        <v>327</v>
      </c>
      <c r="D64" s="3" t="s">
        <v>297</v>
      </c>
      <c r="E64" s="3" t="s">
        <v>298</v>
      </c>
      <c r="F64" s="3" t="s">
        <v>299</v>
      </c>
      <c r="G64" s="3"/>
      <c r="H64" s="3"/>
    </row>
    <row r="65" customFormat="false" ht="15" hidden="false" customHeight="true" outlineLevel="0" collapsed="false">
      <c r="A65" s="3" t="s">
        <v>282</v>
      </c>
      <c r="B65" s="4" t="s">
        <v>283</v>
      </c>
      <c r="C65" s="3" t="s">
        <v>328</v>
      </c>
      <c r="D65" s="3" t="s">
        <v>285</v>
      </c>
      <c r="E65" s="3" t="s">
        <v>286</v>
      </c>
      <c r="F65" s="3" t="s">
        <v>287</v>
      </c>
      <c r="G65" s="4" t="s">
        <v>135</v>
      </c>
      <c r="H65" s="3"/>
    </row>
    <row r="66" customFormat="false" ht="15" hidden="false" customHeight="true" outlineLevel="0" collapsed="false">
      <c r="A66" s="3" t="s">
        <v>282</v>
      </c>
      <c r="B66" s="4" t="s">
        <v>283</v>
      </c>
      <c r="C66" s="3" t="s">
        <v>328</v>
      </c>
      <c r="D66" s="3" t="s">
        <v>288</v>
      </c>
      <c r="E66" s="3" t="s">
        <v>289</v>
      </c>
      <c r="F66" s="3" t="s">
        <v>290</v>
      </c>
      <c r="G66" s="3"/>
      <c r="H66" s="3"/>
    </row>
    <row r="67" customFormat="false" ht="15" hidden="false" customHeight="true" outlineLevel="0" collapsed="false">
      <c r="A67" s="3" t="s">
        <v>282</v>
      </c>
      <c r="B67" s="4" t="s">
        <v>283</v>
      </c>
      <c r="C67" s="3" t="s">
        <v>328</v>
      </c>
      <c r="D67" s="3" t="s">
        <v>294</v>
      </c>
      <c r="E67" s="3" t="s">
        <v>295</v>
      </c>
      <c r="F67" s="3" t="s">
        <v>296</v>
      </c>
      <c r="G67" s="3"/>
      <c r="H67" s="3"/>
    </row>
    <row r="68" customFormat="false" ht="15" hidden="false" customHeight="true" outlineLevel="0" collapsed="false">
      <c r="A68" s="3" t="s">
        <v>282</v>
      </c>
      <c r="B68" s="4" t="s">
        <v>283</v>
      </c>
      <c r="C68" s="3" t="s">
        <v>328</v>
      </c>
      <c r="D68" s="3" t="s">
        <v>297</v>
      </c>
      <c r="E68" s="3" t="s">
        <v>298</v>
      </c>
      <c r="F68" s="3" t="s">
        <v>299</v>
      </c>
      <c r="G68" s="3"/>
      <c r="H68" s="3"/>
    </row>
    <row r="69" customFormat="false" ht="15" hidden="false" customHeight="true" outlineLevel="0" collapsed="false">
      <c r="A69" s="3" t="s">
        <v>282</v>
      </c>
      <c r="B69" s="4" t="s">
        <v>283</v>
      </c>
      <c r="C69" s="3" t="s">
        <v>329</v>
      </c>
      <c r="D69" s="3" t="s">
        <v>285</v>
      </c>
      <c r="E69" s="3" t="s">
        <v>286</v>
      </c>
      <c r="F69" s="3" t="s">
        <v>287</v>
      </c>
      <c r="G69" s="3"/>
      <c r="H69" s="3"/>
    </row>
    <row r="70" customFormat="false" ht="15" hidden="false" customHeight="true" outlineLevel="0" collapsed="false">
      <c r="A70" s="3" t="s">
        <v>282</v>
      </c>
      <c r="B70" s="4" t="s">
        <v>283</v>
      </c>
      <c r="C70" s="3" t="s">
        <v>329</v>
      </c>
      <c r="D70" s="3" t="s">
        <v>288</v>
      </c>
      <c r="E70" s="3" t="s">
        <v>289</v>
      </c>
      <c r="F70" s="3" t="s">
        <v>290</v>
      </c>
      <c r="G70" s="4" t="s">
        <v>135</v>
      </c>
      <c r="H70" s="3"/>
    </row>
    <row r="71" customFormat="false" ht="15" hidden="false" customHeight="true" outlineLevel="0" collapsed="false">
      <c r="A71" s="3" t="s">
        <v>282</v>
      </c>
      <c r="B71" s="4" t="s">
        <v>283</v>
      </c>
      <c r="C71" s="3" t="s">
        <v>329</v>
      </c>
      <c r="D71" s="3" t="s">
        <v>294</v>
      </c>
      <c r="E71" s="3" t="s">
        <v>295</v>
      </c>
      <c r="F71" s="3" t="s">
        <v>296</v>
      </c>
      <c r="G71" s="3"/>
      <c r="H71" s="3"/>
    </row>
    <row r="72" customFormat="false" ht="15" hidden="false" customHeight="true" outlineLevel="0" collapsed="false">
      <c r="A72" s="3" t="s">
        <v>282</v>
      </c>
      <c r="B72" s="4" t="s">
        <v>283</v>
      </c>
      <c r="C72" s="3" t="s">
        <v>329</v>
      </c>
      <c r="D72" s="3" t="s">
        <v>297</v>
      </c>
      <c r="E72" s="3" t="s">
        <v>298</v>
      </c>
      <c r="F72" s="3" t="s">
        <v>299</v>
      </c>
      <c r="G72" s="3"/>
      <c r="H72" s="3"/>
    </row>
    <row r="73" customFormat="false" ht="15" hidden="false" customHeight="true" outlineLevel="0" collapsed="false">
      <c r="A73" s="3" t="s">
        <v>282</v>
      </c>
      <c r="B73" s="4" t="s">
        <v>283</v>
      </c>
      <c r="C73" s="3" t="s">
        <v>330</v>
      </c>
      <c r="D73" s="3" t="s">
        <v>285</v>
      </c>
      <c r="E73" s="3" t="s">
        <v>286</v>
      </c>
      <c r="F73" s="3" t="s">
        <v>287</v>
      </c>
      <c r="G73" s="4" t="s">
        <v>135</v>
      </c>
      <c r="H73" s="3"/>
    </row>
    <row r="74" customFormat="false" ht="15" hidden="false" customHeight="true" outlineLevel="0" collapsed="false">
      <c r="A74" s="3" t="s">
        <v>282</v>
      </c>
      <c r="B74" s="4" t="s">
        <v>283</v>
      </c>
      <c r="C74" s="3" t="s">
        <v>330</v>
      </c>
      <c r="D74" s="3" t="s">
        <v>294</v>
      </c>
      <c r="E74" s="3" t="s">
        <v>295</v>
      </c>
      <c r="F74" s="3" t="s">
        <v>296</v>
      </c>
      <c r="G74" s="3"/>
      <c r="H74" s="3"/>
    </row>
    <row r="75" customFormat="false" ht="15" hidden="false" customHeight="true" outlineLevel="0" collapsed="false">
      <c r="A75" s="3" t="s">
        <v>282</v>
      </c>
      <c r="B75" s="4" t="s">
        <v>283</v>
      </c>
      <c r="C75" s="3" t="s">
        <v>330</v>
      </c>
      <c r="D75" s="3" t="s">
        <v>297</v>
      </c>
      <c r="E75" s="3" t="s">
        <v>298</v>
      </c>
      <c r="F75" s="3" t="s">
        <v>299</v>
      </c>
      <c r="G75" s="3"/>
      <c r="H75" s="3"/>
    </row>
    <row r="76" customFormat="false" ht="15" hidden="false" customHeight="true" outlineLevel="0" collapsed="false">
      <c r="A76" s="3" t="s">
        <v>282</v>
      </c>
      <c r="B76" s="4" t="s">
        <v>283</v>
      </c>
      <c r="C76" s="3" t="s">
        <v>331</v>
      </c>
      <c r="D76" s="3" t="s">
        <v>285</v>
      </c>
      <c r="E76" s="3" t="s">
        <v>286</v>
      </c>
      <c r="F76" s="3" t="s">
        <v>287</v>
      </c>
      <c r="G76" s="4" t="s">
        <v>135</v>
      </c>
      <c r="H76" s="3"/>
    </row>
    <row r="77" customFormat="false" ht="15" hidden="false" customHeight="true" outlineLevel="0" collapsed="false">
      <c r="A77" s="3" t="s">
        <v>282</v>
      </c>
      <c r="B77" s="4" t="s">
        <v>283</v>
      </c>
      <c r="C77" s="3" t="s">
        <v>331</v>
      </c>
      <c r="D77" s="3" t="s">
        <v>294</v>
      </c>
      <c r="E77" s="3" t="s">
        <v>295</v>
      </c>
      <c r="F77" s="3" t="s">
        <v>296</v>
      </c>
      <c r="G77" s="3"/>
      <c r="H77" s="3"/>
    </row>
    <row r="78" customFormat="false" ht="15" hidden="false" customHeight="true" outlineLevel="0" collapsed="false">
      <c r="A78" s="3" t="s">
        <v>282</v>
      </c>
      <c r="B78" s="4" t="s">
        <v>283</v>
      </c>
      <c r="C78" s="3" t="s">
        <v>332</v>
      </c>
      <c r="D78" s="3" t="s">
        <v>333</v>
      </c>
      <c r="E78" s="3" t="s">
        <v>334</v>
      </c>
      <c r="F78" s="3" t="s">
        <v>320</v>
      </c>
      <c r="G78" s="3"/>
      <c r="H78" s="3"/>
    </row>
    <row r="79" customFormat="false" ht="15" hidden="false" customHeight="true" outlineLevel="0" collapsed="false">
      <c r="A79" s="3" t="s">
        <v>282</v>
      </c>
      <c r="B79" s="4" t="s">
        <v>283</v>
      </c>
      <c r="C79" s="3" t="s">
        <v>335</v>
      </c>
      <c r="D79" s="3" t="s">
        <v>333</v>
      </c>
      <c r="E79" s="3" t="s">
        <v>334</v>
      </c>
      <c r="F79" s="3" t="s">
        <v>320</v>
      </c>
      <c r="G79" s="3"/>
      <c r="H79" s="3"/>
    </row>
    <row r="80" customFormat="false" ht="15" hidden="false" customHeight="true" outlineLevel="0" collapsed="false">
      <c r="A80" s="3" t="s">
        <v>282</v>
      </c>
      <c r="B80" s="4" t="s">
        <v>283</v>
      </c>
      <c r="C80" s="3" t="s">
        <v>336</v>
      </c>
      <c r="D80" s="3" t="s">
        <v>288</v>
      </c>
      <c r="E80" s="3" t="s">
        <v>289</v>
      </c>
      <c r="F80" s="3" t="s">
        <v>290</v>
      </c>
      <c r="G80" s="3"/>
      <c r="H80" s="3"/>
    </row>
    <row r="81" customFormat="false" ht="15" hidden="false" customHeight="true" outlineLevel="0" collapsed="false">
      <c r="A81" s="3" t="s">
        <v>282</v>
      </c>
      <c r="B81" s="4" t="s">
        <v>283</v>
      </c>
      <c r="C81" s="3" t="s">
        <v>336</v>
      </c>
      <c r="D81" s="3" t="s">
        <v>294</v>
      </c>
      <c r="E81" s="3" t="s">
        <v>295</v>
      </c>
      <c r="F81" s="3" t="s">
        <v>296</v>
      </c>
      <c r="G81" s="3"/>
      <c r="H81" s="3"/>
    </row>
    <row r="82" customFormat="false" ht="15" hidden="false" customHeight="true" outlineLevel="0" collapsed="false">
      <c r="A82" s="3" t="s">
        <v>282</v>
      </c>
      <c r="B82" s="4" t="s">
        <v>283</v>
      </c>
      <c r="C82" s="3" t="s">
        <v>336</v>
      </c>
      <c r="D82" s="3" t="s">
        <v>297</v>
      </c>
      <c r="E82" s="3" t="s">
        <v>298</v>
      </c>
      <c r="F82" s="3" t="s">
        <v>299</v>
      </c>
      <c r="G82" s="3"/>
      <c r="H82" s="3"/>
    </row>
    <row r="83" customFormat="false" ht="15" hidden="false" customHeight="true" outlineLevel="0" collapsed="false">
      <c r="A83" s="3" t="s">
        <v>282</v>
      </c>
      <c r="B83" s="4" t="s">
        <v>283</v>
      </c>
      <c r="C83" s="3" t="s">
        <v>337</v>
      </c>
      <c r="D83" s="3" t="s">
        <v>285</v>
      </c>
      <c r="E83" s="3" t="s">
        <v>286</v>
      </c>
      <c r="F83" s="3" t="s">
        <v>287</v>
      </c>
      <c r="G83" s="4" t="s">
        <v>135</v>
      </c>
      <c r="H83" s="3"/>
    </row>
    <row r="84" customFormat="false" ht="15" hidden="false" customHeight="true" outlineLevel="0" collapsed="false">
      <c r="A84" s="3" t="s">
        <v>282</v>
      </c>
      <c r="B84" s="4" t="s">
        <v>283</v>
      </c>
      <c r="C84" s="3" t="s">
        <v>337</v>
      </c>
      <c r="D84" s="3" t="s">
        <v>294</v>
      </c>
      <c r="E84" s="3" t="s">
        <v>295</v>
      </c>
      <c r="F84" s="3" t="s">
        <v>296</v>
      </c>
      <c r="G84" s="3"/>
      <c r="H84" s="3"/>
    </row>
    <row r="85" customFormat="false" ht="15" hidden="false" customHeight="true" outlineLevel="0" collapsed="false">
      <c r="A85" s="3" t="s">
        <v>282</v>
      </c>
      <c r="B85" s="4" t="s">
        <v>283</v>
      </c>
      <c r="C85" s="3" t="s">
        <v>337</v>
      </c>
      <c r="D85" s="3" t="s">
        <v>297</v>
      </c>
      <c r="E85" s="3" t="s">
        <v>298</v>
      </c>
      <c r="F85" s="3" t="s">
        <v>299</v>
      </c>
      <c r="G85" s="3"/>
      <c r="H85" s="3"/>
    </row>
    <row r="86" customFormat="false" ht="15" hidden="false" customHeight="true" outlineLevel="0" collapsed="false">
      <c r="A86" s="3" t="s">
        <v>282</v>
      </c>
      <c r="B86" s="4" t="s">
        <v>283</v>
      </c>
      <c r="C86" s="3" t="s">
        <v>338</v>
      </c>
      <c r="D86" s="3" t="s">
        <v>285</v>
      </c>
      <c r="E86" s="3" t="s">
        <v>286</v>
      </c>
      <c r="F86" s="3" t="s">
        <v>287</v>
      </c>
      <c r="G86" s="3"/>
      <c r="H86" s="3"/>
    </row>
    <row r="87" customFormat="false" ht="15" hidden="false" customHeight="true" outlineLevel="0" collapsed="false">
      <c r="A87" s="3" t="s">
        <v>282</v>
      </c>
      <c r="B87" s="4" t="s">
        <v>283</v>
      </c>
      <c r="C87" s="3" t="s">
        <v>338</v>
      </c>
      <c r="D87" s="3" t="s">
        <v>294</v>
      </c>
      <c r="E87" s="3" t="s">
        <v>295</v>
      </c>
      <c r="F87" s="3" t="s">
        <v>296</v>
      </c>
      <c r="G87" s="3"/>
      <c r="H87" s="3"/>
    </row>
    <row r="88" customFormat="false" ht="15" hidden="false" customHeight="true" outlineLevel="0" collapsed="false">
      <c r="A88" s="3" t="s">
        <v>282</v>
      </c>
      <c r="B88" s="4" t="s">
        <v>283</v>
      </c>
      <c r="C88" s="3" t="s">
        <v>339</v>
      </c>
      <c r="D88" s="3" t="s">
        <v>294</v>
      </c>
      <c r="E88" s="3" t="s">
        <v>295</v>
      </c>
      <c r="F88" s="3" t="s">
        <v>296</v>
      </c>
      <c r="G88" s="3"/>
      <c r="H88" s="3"/>
    </row>
    <row r="89" customFormat="false" ht="15" hidden="false" customHeight="true" outlineLevel="0" collapsed="false">
      <c r="A89" s="3" t="s">
        <v>282</v>
      </c>
      <c r="B89" s="4" t="s">
        <v>283</v>
      </c>
      <c r="C89" s="3" t="s">
        <v>340</v>
      </c>
      <c r="D89" s="3" t="s">
        <v>294</v>
      </c>
      <c r="E89" s="3" t="s">
        <v>295</v>
      </c>
      <c r="F89" s="3" t="s">
        <v>296</v>
      </c>
      <c r="G89" s="3"/>
      <c r="H89" s="3"/>
    </row>
    <row r="90" customFormat="false" ht="15" hidden="false" customHeight="true" outlineLevel="0" collapsed="false">
      <c r="A90" s="3" t="s">
        <v>282</v>
      </c>
      <c r="B90" s="4" t="s">
        <v>283</v>
      </c>
      <c r="C90" s="3" t="s">
        <v>340</v>
      </c>
      <c r="D90" s="3" t="s">
        <v>297</v>
      </c>
      <c r="E90" s="3" t="s">
        <v>298</v>
      </c>
      <c r="F90" s="3" t="s">
        <v>299</v>
      </c>
      <c r="G90" s="3"/>
      <c r="H90" s="3"/>
    </row>
    <row r="91" customFormat="false" ht="15" hidden="false" customHeight="true" outlineLevel="0" collapsed="false">
      <c r="A91" s="3" t="s">
        <v>282</v>
      </c>
      <c r="B91" s="4" t="s">
        <v>283</v>
      </c>
      <c r="C91" s="3" t="s">
        <v>340</v>
      </c>
      <c r="D91" s="3" t="s">
        <v>300</v>
      </c>
      <c r="E91" s="3" t="s">
        <v>323</v>
      </c>
      <c r="F91" s="3" t="s">
        <v>302</v>
      </c>
      <c r="G91" s="3"/>
      <c r="H91" s="3"/>
    </row>
    <row r="92" customFormat="false" ht="15" hidden="false" customHeight="true" outlineLevel="0" collapsed="false">
      <c r="A92" s="3" t="s">
        <v>282</v>
      </c>
      <c r="B92" s="4" t="s">
        <v>283</v>
      </c>
      <c r="C92" s="3" t="s">
        <v>341</v>
      </c>
      <c r="D92" s="3" t="s">
        <v>288</v>
      </c>
      <c r="E92" s="3" t="s">
        <v>289</v>
      </c>
      <c r="F92" s="3" t="s">
        <v>290</v>
      </c>
      <c r="G92" s="3"/>
      <c r="H92" s="3"/>
    </row>
    <row r="93" customFormat="false" ht="15" hidden="false" customHeight="true" outlineLevel="0" collapsed="false">
      <c r="A93" s="3" t="s">
        <v>282</v>
      </c>
      <c r="B93" s="4" t="s">
        <v>283</v>
      </c>
      <c r="C93" s="3" t="s">
        <v>341</v>
      </c>
      <c r="D93" s="3" t="s">
        <v>294</v>
      </c>
      <c r="E93" s="3" t="s">
        <v>295</v>
      </c>
      <c r="F93" s="3" t="s">
        <v>296</v>
      </c>
      <c r="G93" s="3"/>
      <c r="H93" s="3"/>
    </row>
    <row r="94" customFormat="false" ht="15" hidden="false" customHeight="true" outlineLevel="0" collapsed="false">
      <c r="A94" s="3" t="s">
        <v>282</v>
      </c>
      <c r="B94" s="4" t="s">
        <v>283</v>
      </c>
      <c r="C94" s="3" t="s">
        <v>341</v>
      </c>
      <c r="D94" s="3" t="s">
        <v>297</v>
      </c>
      <c r="E94" s="3" t="s">
        <v>298</v>
      </c>
      <c r="F94" s="3" t="s">
        <v>299</v>
      </c>
      <c r="G94" s="3"/>
      <c r="H94" s="3"/>
    </row>
    <row r="95" customFormat="false" ht="15" hidden="false" customHeight="true" outlineLevel="0" collapsed="false">
      <c r="A95" s="3" t="s">
        <v>282</v>
      </c>
      <c r="B95" s="4" t="s">
        <v>283</v>
      </c>
      <c r="C95" s="3" t="s">
        <v>341</v>
      </c>
      <c r="D95" s="3" t="s">
        <v>300</v>
      </c>
      <c r="E95" s="3" t="s">
        <v>323</v>
      </c>
      <c r="F95" s="3" t="s">
        <v>302</v>
      </c>
      <c r="G95" s="3"/>
      <c r="H95" s="3"/>
    </row>
    <row r="96" customFormat="false" ht="15" hidden="false" customHeight="true" outlineLevel="0" collapsed="false">
      <c r="A96" s="3" t="s">
        <v>282</v>
      </c>
      <c r="B96" s="4" t="s">
        <v>283</v>
      </c>
      <c r="C96" s="3" t="s">
        <v>342</v>
      </c>
      <c r="D96" s="3" t="s">
        <v>285</v>
      </c>
      <c r="E96" s="3" t="s">
        <v>286</v>
      </c>
      <c r="F96" s="3" t="s">
        <v>287</v>
      </c>
      <c r="G96" s="3"/>
      <c r="H96" s="3"/>
    </row>
    <row r="97" customFormat="false" ht="15" hidden="false" customHeight="true" outlineLevel="0" collapsed="false">
      <c r="A97" s="3" t="s">
        <v>282</v>
      </c>
      <c r="B97" s="4" t="s">
        <v>283</v>
      </c>
      <c r="C97" s="3" t="s">
        <v>342</v>
      </c>
      <c r="D97" s="3" t="s">
        <v>294</v>
      </c>
      <c r="E97" s="3" t="s">
        <v>295</v>
      </c>
      <c r="F97" s="3" t="s">
        <v>296</v>
      </c>
      <c r="G97" s="3"/>
      <c r="H97" s="3"/>
    </row>
    <row r="98" customFormat="false" ht="15" hidden="false" customHeight="true" outlineLevel="0" collapsed="false">
      <c r="A98" s="3" t="s">
        <v>282</v>
      </c>
      <c r="B98" s="4" t="s">
        <v>283</v>
      </c>
      <c r="C98" s="3" t="s">
        <v>342</v>
      </c>
      <c r="D98" s="3" t="s">
        <v>297</v>
      </c>
      <c r="E98" s="3" t="s">
        <v>298</v>
      </c>
      <c r="F98" s="3" t="s">
        <v>299</v>
      </c>
      <c r="G98" s="3"/>
      <c r="H98" s="3"/>
    </row>
    <row r="99" customFormat="false" ht="15" hidden="false" customHeight="true" outlineLevel="0" collapsed="false">
      <c r="A99" s="3" t="s">
        <v>282</v>
      </c>
      <c r="B99" s="4" t="s">
        <v>283</v>
      </c>
      <c r="C99" s="3" t="s">
        <v>343</v>
      </c>
      <c r="D99" s="3" t="s">
        <v>288</v>
      </c>
      <c r="E99" s="3" t="s">
        <v>289</v>
      </c>
      <c r="F99" s="3" t="s">
        <v>290</v>
      </c>
      <c r="G99" s="3"/>
      <c r="H99" s="3"/>
    </row>
    <row r="100" customFormat="false" ht="15" hidden="false" customHeight="true" outlineLevel="0" collapsed="false">
      <c r="A100" s="3" t="s">
        <v>282</v>
      </c>
      <c r="B100" s="4" t="s">
        <v>283</v>
      </c>
      <c r="C100" s="3" t="s">
        <v>343</v>
      </c>
      <c r="D100" s="3" t="s">
        <v>294</v>
      </c>
      <c r="E100" s="3" t="s">
        <v>295</v>
      </c>
      <c r="F100" s="3" t="s">
        <v>296</v>
      </c>
      <c r="G100" s="3"/>
      <c r="H100" s="3"/>
    </row>
    <row r="101" customFormat="false" ht="15" hidden="false" customHeight="true" outlineLevel="0" collapsed="false">
      <c r="A101" s="3" t="s">
        <v>282</v>
      </c>
      <c r="B101" s="4" t="s">
        <v>283</v>
      </c>
      <c r="C101" s="3" t="s">
        <v>343</v>
      </c>
      <c r="D101" s="3" t="s">
        <v>297</v>
      </c>
      <c r="E101" s="3" t="s">
        <v>298</v>
      </c>
      <c r="F101" s="3" t="s">
        <v>299</v>
      </c>
      <c r="G101" s="3"/>
      <c r="H101" s="3"/>
    </row>
    <row r="102" customFormat="false" ht="15" hidden="false" customHeight="true" outlineLevel="0" collapsed="false">
      <c r="A102" s="3" t="s">
        <v>282</v>
      </c>
      <c r="B102" s="4" t="s">
        <v>283</v>
      </c>
      <c r="C102" s="3" t="s">
        <v>343</v>
      </c>
      <c r="D102" s="3" t="s">
        <v>291</v>
      </c>
      <c r="E102" s="3" t="s">
        <v>292</v>
      </c>
      <c r="F102" s="3"/>
      <c r="G102" s="3"/>
      <c r="H102" s="3"/>
    </row>
    <row r="103" customFormat="false" ht="15" hidden="false" customHeight="true" outlineLevel="0" collapsed="false">
      <c r="A103" s="3" t="s">
        <v>282</v>
      </c>
      <c r="B103" s="4" t="s">
        <v>283</v>
      </c>
      <c r="C103" s="3" t="s">
        <v>344</v>
      </c>
      <c r="D103" s="3" t="s">
        <v>285</v>
      </c>
      <c r="E103" s="3" t="s">
        <v>286</v>
      </c>
      <c r="F103" s="3" t="s">
        <v>287</v>
      </c>
      <c r="G103" s="3"/>
      <c r="H103" s="3"/>
    </row>
    <row r="104" customFormat="false" ht="15" hidden="false" customHeight="true" outlineLevel="0" collapsed="false">
      <c r="A104" s="3" t="s">
        <v>282</v>
      </c>
      <c r="B104" s="4" t="s">
        <v>283</v>
      </c>
      <c r="C104" s="3" t="s">
        <v>344</v>
      </c>
      <c r="D104" s="3" t="s">
        <v>288</v>
      </c>
      <c r="E104" s="3" t="s">
        <v>289</v>
      </c>
      <c r="F104" s="3" t="s">
        <v>290</v>
      </c>
      <c r="G104" s="3"/>
      <c r="H104" s="3"/>
    </row>
    <row r="105" customFormat="false" ht="15" hidden="false" customHeight="true" outlineLevel="0" collapsed="false">
      <c r="A105" s="3" t="s">
        <v>282</v>
      </c>
      <c r="B105" s="4" t="s">
        <v>283</v>
      </c>
      <c r="C105" s="3" t="s">
        <v>344</v>
      </c>
      <c r="D105" s="3" t="s">
        <v>294</v>
      </c>
      <c r="E105" s="3" t="s">
        <v>295</v>
      </c>
      <c r="F105" s="3" t="s">
        <v>296</v>
      </c>
      <c r="G105" s="3"/>
      <c r="H105" s="3"/>
    </row>
    <row r="106" customFormat="false" ht="15" hidden="false" customHeight="true" outlineLevel="0" collapsed="false">
      <c r="A106" s="3" t="s">
        <v>282</v>
      </c>
      <c r="B106" s="4" t="s">
        <v>283</v>
      </c>
      <c r="C106" s="3" t="s">
        <v>344</v>
      </c>
      <c r="D106" s="3" t="s">
        <v>297</v>
      </c>
      <c r="E106" s="3" t="s">
        <v>298</v>
      </c>
      <c r="F106" s="3" t="s">
        <v>299</v>
      </c>
      <c r="G106" s="4" t="s">
        <v>135</v>
      </c>
      <c r="H106" s="3"/>
    </row>
    <row r="107" customFormat="false" ht="15" hidden="false" customHeight="true" outlineLevel="0" collapsed="false">
      <c r="A107" s="3" t="s">
        <v>282</v>
      </c>
      <c r="B107" s="4" t="s">
        <v>283</v>
      </c>
      <c r="C107" s="3" t="s">
        <v>345</v>
      </c>
      <c r="D107" s="3" t="s">
        <v>285</v>
      </c>
      <c r="E107" s="3" t="s">
        <v>286</v>
      </c>
      <c r="F107" s="3" t="s">
        <v>287</v>
      </c>
      <c r="G107" s="3"/>
      <c r="H107" s="3"/>
    </row>
    <row r="108" customFormat="false" ht="15" hidden="false" customHeight="true" outlineLevel="0" collapsed="false">
      <c r="A108" s="3" t="s">
        <v>282</v>
      </c>
      <c r="B108" s="4" t="s">
        <v>283</v>
      </c>
      <c r="C108" s="3" t="s">
        <v>345</v>
      </c>
      <c r="D108" s="3" t="s">
        <v>288</v>
      </c>
      <c r="E108" s="3" t="s">
        <v>289</v>
      </c>
      <c r="F108" s="3" t="s">
        <v>290</v>
      </c>
      <c r="G108" s="3"/>
      <c r="H108" s="3"/>
    </row>
    <row r="109" customFormat="false" ht="15" hidden="false" customHeight="true" outlineLevel="0" collapsed="false">
      <c r="A109" s="3" t="s">
        <v>282</v>
      </c>
      <c r="B109" s="4" t="s">
        <v>283</v>
      </c>
      <c r="C109" s="3" t="s">
        <v>345</v>
      </c>
      <c r="D109" s="3" t="s">
        <v>294</v>
      </c>
      <c r="E109" s="3" t="s">
        <v>295</v>
      </c>
      <c r="F109" s="3" t="s">
        <v>296</v>
      </c>
      <c r="G109" s="3"/>
      <c r="H109" s="3"/>
    </row>
    <row r="110" customFormat="false" ht="15" hidden="false" customHeight="true" outlineLevel="0" collapsed="false">
      <c r="A110" s="3" t="s">
        <v>282</v>
      </c>
      <c r="B110" s="4" t="s">
        <v>283</v>
      </c>
      <c r="C110" s="3" t="s">
        <v>345</v>
      </c>
      <c r="D110" s="3" t="s">
        <v>297</v>
      </c>
      <c r="E110" s="3" t="s">
        <v>298</v>
      </c>
      <c r="F110" s="3" t="s">
        <v>299</v>
      </c>
      <c r="G110" s="3"/>
      <c r="H110" s="3"/>
    </row>
    <row r="111" customFormat="false" ht="15" hidden="false" customHeight="true" outlineLevel="0" collapsed="false">
      <c r="A111" s="3" t="s">
        <v>282</v>
      </c>
      <c r="B111" s="4" t="s">
        <v>283</v>
      </c>
      <c r="C111" s="3" t="s">
        <v>346</v>
      </c>
      <c r="D111" s="3" t="s">
        <v>285</v>
      </c>
      <c r="E111" s="3" t="s">
        <v>286</v>
      </c>
      <c r="F111" s="3" t="s">
        <v>287</v>
      </c>
      <c r="G111" s="3"/>
      <c r="H111" s="3"/>
    </row>
    <row r="112" customFormat="false" ht="15" hidden="false" customHeight="true" outlineLevel="0" collapsed="false">
      <c r="A112" s="3" t="s">
        <v>282</v>
      </c>
      <c r="B112" s="4" t="s">
        <v>283</v>
      </c>
      <c r="C112" s="3" t="s">
        <v>346</v>
      </c>
      <c r="D112" s="3" t="s">
        <v>288</v>
      </c>
      <c r="E112" s="3" t="s">
        <v>289</v>
      </c>
      <c r="F112" s="3" t="s">
        <v>290</v>
      </c>
      <c r="G112" s="3"/>
      <c r="H112" s="3"/>
    </row>
    <row r="113" customFormat="false" ht="15" hidden="false" customHeight="true" outlineLevel="0" collapsed="false">
      <c r="A113" s="3" t="s">
        <v>282</v>
      </c>
      <c r="B113" s="4" t="s">
        <v>283</v>
      </c>
      <c r="C113" s="3" t="s">
        <v>346</v>
      </c>
      <c r="D113" s="3" t="s">
        <v>294</v>
      </c>
      <c r="E113" s="3" t="s">
        <v>295</v>
      </c>
      <c r="F113" s="3" t="s">
        <v>296</v>
      </c>
      <c r="G113" s="3"/>
      <c r="H113" s="3"/>
    </row>
    <row r="114" customFormat="false" ht="15" hidden="false" customHeight="true" outlineLevel="0" collapsed="false">
      <c r="A114" s="3" t="s">
        <v>282</v>
      </c>
      <c r="B114" s="4" t="s">
        <v>283</v>
      </c>
      <c r="C114" s="3" t="s">
        <v>346</v>
      </c>
      <c r="D114" s="3" t="s">
        <v>297</v>
      </c>
      <c r="E114" s="3" t="s">
        <v>298</v>
      </c>
      <c r="F114" s="3" t="s">
        <v>299</v>
      </c>
      <c r="G114" s="3"/>
      <c r="H114" s="3"/>
    </row>
    <row r="115" customFormat="false" ht="15" hidden="false" customHeight="true" outlineLevel="0" collapsed="false">
      <c r="A115" s="3" t="s">
        <v>282</v>
      </c>
      <c r="B115" s="4" t="s">
        <v>283</v>
      </c>
      <c r="C115" s="3" t="s">
        <v>346</v>
      </c>
      <c r="D115" s="3" t="s">
        <v>300</v>
      </c>
      <c r="E115" s="3" t="s">
        <v>301</v>
      </c>
      <c r="F115" s="3" t="s">
        <v>302</v>
      </c>
      <c r="G115" s="3"/>
      <c r="H115" s="3"/>
    </row>
    <row r="116" customFormat="false" ht="15" hidden="false" customHeight="true" outlineLevel="0" collapsed="false">
      <c r="A116" s="3" t="s">
        <v>282</v>
      </c>
      <c r="B116" s="4" t="s">
        <v>283</v>
      </c>
      <c r="C116" s="3" t="s">
        <v>346</v>
      </c>
      <c r="D116" s="3" t="s">
        <v>291</v>
      </c>
      <c r="E116" s="3" t="s">
        <v>292</v>
      </c>
      <c r="F116" s="3"/>
      <c r="G116" s="3"/>
      <c r="H116" s="3"/>
    </row>
    <row r="117" customFormat="false" ht="15" hidden="false" customHeight="true" outlineLevel="0" collapsed="false">
      <c r="A117" s="3" t="s">
        <v>282</v>
      </c>
      <c r="B117" s="4" t="s">
        <v>283</v>
      </c>
      <c r="C117" s="3" t="s">
        <v>347</v>
      </c>
      <c r="D117" s="3" t="s">
        <v>285</v>
      </c>
      <c r="E117" s="3" t="s">
        <v>286</v>
      </c>
      <c r="F117" s="3" t="s">
        <v>287</v>
      </c>
      <c r="G117" s="4" t="s">
        <v>135</v>
      </c>
      <c r="H117" s="3"/>
    </row>
    <row r="118" customFormat="false" ht="15" hidden="false" customHeight="true" outlineLevel="0" collapsed="false">
      <c r="A118" s="3" t="s">
        <v>282</v>
      </c>
      <c r="B118" s="4" t="s">
        <v>283</v>
      </c>
      <c r="C118" s="3" t="s">
        <v>347</v>
      </c>
      <c r="D118" s="3" t="s">
        <v>288</v>
      </c>
      <c r="E118" s="3" t="s">
        <v>289</v>
      </c>
      <c r="F118" s="3" t="s">
        <v>290</v>
      </c>
      <c r="G118" s="3"/>
      <c r="H118" s="3"/>
    </row>
    <row r="119" customFormat="false" ht="15" hidden="false" customHeight="true" outlineLevel="0" collapsed="false">
      <c r="A119" s="3" t="s">
        <v>282</v>
      </c>
      <c r="B119" s="4" t="s">
        <v>283</v>
      </c>
      <c r="C119" s="3" t="s">
        <v>347</v>
      </c>
      <c r="D119" s="3" t="s">
        <v>294</v>
      </c>
      <c r="E119" s="3" t="s">
        <v>295</v>
      </c>
      <c r="F119" s="3" t="s">
        <v>296</v>
      </c>
      <c r="G119" s="3"/>
      <c r="H119" s="3"/>
    </row>
    <row r="120" customFormat="false" ht="15" hidden="false" customHeight="true" outlineLevel="0" collapsed="false">
      <c r="A120" s="3" t="s">
        <v>282</v>
      </c>
      <c r="B120" s="4" t="s">
        <v>283</v>
      </c>
      <c r="C120" s="3" t="s">
        <v>347</v>
      </c>
      <c r="D120" s="3" t="s">
        <v>297</v>
      </c>
      <c r="E120" s="3" t="s">
        <v>298</v>
      </c>
      <c r="F120" s="3" t="s">
        <v>299</v>
      </c>
      <c r="G120" s="3"/>
      <c r="H120" s="3"/>
    </row>
    <row r="121" customFormat="false" ht="15" hidden="false" customHeight="true" outlineLevel="0" collapsed="false">
      <c r="A121" s="3" t="s">
        <v>282</v>
      </c>
      <c r="B121" s="4" t="s">
        <v>283</v>
      </c>
      <c r="C121" s="3" t="s">
        <v>347</v>
      </c>
      <c r="D121" s="3" t="s">
        <v>300</v>
      </c>
      <c r="E121" s="3" t="s">
        <v>301</v>
      </c>
      <c r="F121" s="3" t="s">
        <v>302</v>
      </c>
      <c r="G121" s="4" t="s">
        <v>135</v>
      </c>
      <c r="H121" s="3"/>
    </row>
    <row r="122" customFormat="false" ht="15" hidden="false" customHeight="true" outlineLevel="0" collapsed="false">
      <c r="A122" s="3" t="s">
        <v>282</v>
      </c>
      <c r="B122" s="4" t="s">
        <v>283</v>
      </c>
      <c r="C122" s="3" t="s">
        <v>347</v>
      </c>
      <c r="D122" s="3" t="s">
        <v>291</v>
      </c>
      <c r="E122" s="3" t="s">
        <v>292</v>
      </c>
      <c r="F122" s="3"/>
      <c r="G122" s="3"/>
      <c r="H122" s="3"/>
    </row>
    <row r="123" customFormat="false" ht="15" hidden="false" customHeight="true" outlineLevel="0" collapsed="false">
      <c r="A123" s="3" t="s">
        <v>282</v>
      </c>
      <c r="B123" s="4" t="s">
        <v>283</v>
      </c>
      <c r="C123" s="3" t="s">
        <v>348</v>
      </c>
      <c r="D123" s="3" t="s">
        <v>294</v>
      </c>
      <c r="E123" s="3" t="s">
        <v>295</v>
      </c>
      <c r="F123" s="3" t="s">
        <v>296</v>
      </c>
      <c r="G123" s="4" t="s">
        <v>135</v>
      </c>
      <c r="H123" s="3"/>
    </row>
    <row r="124" customFormat="false" ht="15" hidden="false" customHeight="true" outlineLevel="0" collapsed="false">
      <c r="A124" s="3" t="s">
        <v>282</v>
      </c>
      <c r="B124" s="4" t="s">
        <v>283</v>
      </c>
      <c r="C124" s="3" t="s">
        <v>348</v>
      </c>
      <c r="D124" s="3" t="s">
        <v>297</v>
      </c>
      <c r="E124" s="3" t="s">
        <v>298</v>
      </c>
      <c r="F124" s="3" t="s">
        <v>299</v>
      </c>
      <c r="G124" s="4" t="s">
        <v>135</v>
      </c>
      <c r="H124" s="3"/>
    </row>
    <row r="125" customFormat="false" ht="15" hidden="false" customHeight="true" outlineLevel="0" collapsed="false">
      <c r="A125" s="3" t="s">
        <v>282</v>
      </c>
      <c r="B125" s="4" t="s">
        <v>283</v>
      </c>
      <c r="C125" s="3" t="s">
        <v>348</v>
      </c>
      <c r="D125" s="3" t="s">
        <v>291</v>
      </c>
      <c r="E125" s="3" t="s">
        <v>292</v>
      </c>
      <c r="F125" s="3"/>
      <c r="G125" s="3"/>
      <c r="H125" s="3"/>
    </row>
    <row r="126" customFormat="false" ht="15" hidden="false" customHeight="true" outlineLevel="0" collapsed="false">
      <c r="A126" s="3" t="s">
        <v>282</v>
      </c>
      <c r="B126" s="4" t="s">
        <v>283</v>
      </c>
      <c r="C126" s="3" t="s">
        <v>349</v>
      </c>
      <c r="D126" s="3" t="s">
        <v>294</v>
      </c>
      <c r="E126" s="3" t="s">
        <v>295</v>
      </c>
      <c r="F126" s="3" t="s">
        <v>296</v>
      </c>
      <c r="G126" s="3"/>
      <c r="H126" s="3"/>
    </row>
    <row r="127" customFormat="false" ht="15" hidden="false" customHeight="true" outlineLevel="0" collapsed="false">
      <c r="A127" s="3" t="s">
        <v>282</v>
      </c>
      <c r="B127" s="4" t="s">
        <v>283</v>
      </c>
      <c r="C127" s="3" t="s">
        <v>349</v>
      </c>
      <c r="D127" s="3" t="s">
        <v>297</v>
      </c>
      <c r="E127" s="3" t="s">
        <v>298</v>
      </c>
      <c r="F127" s="3" t="s">
        <v>299</v>
      </c>
      <c r="G127" s="3"/>
      <c r="H127" s="3"/>
    </row>
    <row r="128" customFormat="false" ht="15" hidden="false" customHeight="true" outlineLevel="0" collapsed="false">
      <c r="A128" s="3" t="s">
        <v>282</v>
      </c>
      <c r="B128" s="4" t="s">
        <v>283</v>
      </c>
      <c r="C128" s="3" t="s">
        <v>349</v>
      </c>
      <c r="D128" s="3" t="s">
        <v>291</v>
      </c>
      <c r="E128" s="3" t="s">
        <v>292</v>
      </c>
      <c r="F128" s="3"/>
      <c r="G128" s="3"/>
      <c r="H128" s="3"/>
    </row>
    <row r="129" customFormat="false" ht="15" hidden="false" customHeight="true" outlineLevel="0" collapsed="false">
      <c r="A129" s="3" t="s">
        <v>282</v>
      </c>
      <c r="B129" s="4" t="s">
        <v>283</v>
      </c>
      <c r="C129" s="3" t="s">
        <v>350</v>
      </c>
      <c r="D129" s="3" t="s">
        <v>285</v>
      </c>
      <c r="E129" s="3" t="s">
        <v>286</v>
      </c>
      <c r="F129" s="3" t="s">
        <v>287</v>
      </c>
      <c r="G129" s="3"/>
      <c r="H129" s="3"/>
    </row>
    <row r="130" customFormat="false" ht="15" hidden="false" customHeight="true" outlineLevel="0" collapsed="false">
      <c r="A130" s="3" t="s">
        <v>282</v>
      </c>
      <c r="B130" s="4" t="s">
        <v>283</v>
      </c>
      <c r="C130" s="3" t="s">
        <v>350</v>
      </c>
      <c r="D130" s="3" t="s">
        <v>288</v>
      </c>
      <c r="E130" s="3" t="s">
        <v>289</v>
      </c>
      <c r="F130" s="3" t="s">
        <v>290</v>
      </c>
      <c r="G130" s="3"/>
      <c r="H130" s="3"/>
    </row>
    <row r="131" customFormat="false" ht="15" hidden="false" customHeight="true" outlineLevel="0" collapsed="false">
      <c r="A131" s="3" t="s">
        <v>282</v>
      </c>
      <c r="B131" s="4" t="s">
        <v>283</v>
      </c>
      <c r="C131" s="3" t="s">
        <v>350</v>
      </c>
      <c r="D131" s="3" t="s">
        <v>294</v>
      </c>
      <c r="E131" s="3" t="s">
        <v>295</v>
      </c>
      <c r="F131" s="3" t="s">
        <v>296</v>
      </c>
      <c r="G131" s="3"/>
      <c r="H131" s="3"/>
    </row>
    <row r="132" customFormat="false" ht="15" hidden="false" customHeight="true" outlineLevel="0" collapsed="false">
      <c r="A132" s="3" t="s">
        <v>282</v>
      </c>
      <c r="B132" s="4" t="s">
        <v>283</v>
      </c>
      <c r="C132" s="3" t="s">
        <v>350</v>
      </c>
      <c r="D132" s="3" t="s">
        <v>297</v>
      </c>
      <c r="E132" s="3" t="s">
        <v>298</v>
      </c>
      <c r="F132" s="3" t="s">
        <v>299</v>
      </c>
      <c r="G132" s="3"/>
      <c r="H132" s="3"/>
    </row>
    <row r="133" customFormat="false" ht="15" hidden="false" customHeight="true" outlineLevel="0" collapsed="false">
      <c r="A133" s="3" t="s">
        <v>282</v>
      </c>
      <c r="B133" s="4" t="s">
        <v>283</v>
      </c>
      <c r="C133" s="3" t="s">
        <v>350</v>
      </c>
      <c r="D133" s="3" t="s">
        <v>300</v>
      </c>
      <c r="E133" s="3" t="s">
        <v>301</v>
      </c>
      <c r="F133" s="3" t="s">
        <v>302</v>
      </c>
      <c r="G133" s="3"/>
      <c r="H133" s="3"/>
    </row>
    <row r="134" customFormat="false" ht="15" hidden="false" customHeight="true" outlineLevel="0" collapsed="false">
      <c r="A134" s="3" t="s">
        <v>282</v>
      </c>
      <c r="B134" s="4" t="s">
        <v>283</v>
      </c>
      <c r="C134" s="3" t="s">
        <v>350</v>
      </c>
      <c r="D134" s="3" t="s">
        <v>291</v>
      </c>
      <c r="E134" s="3" t="s">
        <v>292</v>
      </c>
      <c r="F134" s="3"/>
      <c r="G134" s="3"/>
      <c r="H134" s="3"/>
    </row>
    <row r="135" customFormat="false" ht="15" hidden="false" customHeight="true" outlineLevel="0" collapsed="false">
      <c r="A135" s="3" t="s">
        <v>282</v>
      </c>
      <c r="B135" s="4" t="s">
        <v>283</v>
      </c>
      <c r="C135" s="3" t="s">
        <v>351</v>
      </c>
      <c r="D135" s="3" t="s">
        <v>294</v>
      </c>
      <c r="E135" s="3" t="s">
        <v>295</v>
      </c>
      <c r="F135" s="3" t="s">
        <v>296</v>
      </c>
      <c r="G135" s="3"/>
      <c r="H135" s="3"/>
    </row>
    <row r="136" customFormat="false" ht="15" hidden="false" customHeight="true" outlineLevel="0" collapsed="false">
      <c r="A136" s="3" t="s">
        <v>282</v>
      </c>
      <c r="B136" s="4" t="s">
        <v>283</v>
      </c>
      <c r="C136" s="3" t="s">
        <v>351</v>
      </c>
      <c r="D136" s="3" t="s">
        <v>297</v>
      </c>
      <c r="E136" s="3" t="s">
        <v>298</v>
      </c>
      <c r="F136" s="3" t="s">
        <v>299</v>
      </c>
      <c r="G136" s="3"/>
      <c r="H136" s="3"/>
    </row>
    <row r="137" customFormat="false" ht="15" hidden="false" customHeight="true" outlineLevel="0" collapsed="false">
      <c r="A137" s="3" t="s">
        <v>282</v>
      </c>
      <c r="B137" s="4" t="s">
        <v>283</v>
      </c>
      <c r="C137" s="3" t="s">
        <v>351</v>
      </c>
      <c r="D137" s="3" t="s">
        <v>300</v>
      </c>
      <c r="E137" s="3" t="s">
        <v>292</v>
      </c>
      <c r="F137" s="3" t="s">
        <v>302</v>
      </c>
      <c r="G137" s="3"/>
      <c r="H137" s="3"/>
    </row>
    <row r="138" customFormat="false" ht="15" hidden="false" customHeight="true" outlineLevel="0" collapsed="false">
      <c r="A138" s="3" t="s">
        <v>282</v>
      </c>
      <c r="B138" s="4" t="s">
        <v>283</v>
      </c>
      <c r="C138" s="3" t="s">
        <v>352</v>
      </c>
      <c r="D138" s="3" t="s">
        <v>285</v>
      </c>
      <c r="E138" s="3" t="s">
        <v>286</v>
      </c>
      <c r="F138" s="3" t="s">
        <v>287</v>
      </c>
      <c r="G138" s="3"/>
      <c r="H138" s="3"/>
    </row>
    <row r="139" customFormat="false" ht="15" hidden="false" customHeight="true" outlineLevel="0" collapsed="false">
      <c r="A139" s="3" t="s">
        <v>282</v>
      </c>
      <c r="B139" s="4" t="s">
        <v>283</v>
      </c>
      <c r="C139" s="3" t="s">
        <v>352</v>
      </c>
      <c r="D139" s="3" t="s">
        <v>288</v>
      </c>
      <c r="E139" s="3" t="s">
        <v>289</v>
      </c>
      <c r="F139" s="3" t="s">
        <v>290</v>
      </c>
      <c r="G139" s="3"/>
      <c r="H139" s="3"/>
    </row>
    <row r="140" customFormat="false" ht="15" hidden="false" customHeight="true" outlineLevel="0" collapsed="false">
      <c r="A140" s="3" t="s">
        <v>282</v>
      </c>
      <c r="B140" s="4" t="s">
        <v>283</v>
      </c>
      <c r="C140" s="3" t="s">
        <v>352</v>
      </c>
      <c r="D140" s="3" t="s">
        <v>294</v>
      </c>
      <c r="E140" s="3" t="s">
        <v>295</v>
      </c>
      <c r="F140" s="3" t="s">
        <v>296</v>
      </c>
      <c r="G140" s="3"/>
      <c r="H140" s="3"/>
    </row>
    <row r="141" customFormat="false" ht="15" hidden="false" customHeight="true" outlineLevel="0" collapsed="false">
      <c r="A141" s="3" t="s">
        <v>282</v>
      </c>
      <c r="B141" s="4" t="s">
        <v>283</v>
      </c>
      <c r="C141" s="3" t="s">
        <v>352</v>
      </c>
      <c r="D141" s="3" t="s">
        <v>297</v>
      </c>
      <c r="E141" s="3" t="s">
        <v>298</v>
      </c>
      <c r="F141" s="3" t="s">
        <v>299</v>
      </c>
      <c r="G141" s="3"/>
      <c r="H141" s="3"/>
    </row>
    <row r="142" customFormat="false" ht="15" hidden="false" customHeight="true" outlineLevel="0" collapsed="false">
      <c r="A142" s="3" t="s">
        <v>282</v>
      </c>
      <c r="B142" s="4" t="s">
        <v>283</v>
      </c>
      <c r="C142" s="3" t="s">
        <v>352</v>
      </c>
      <c r="D142" s="3" t="s">
        <v>300</v>
      </c>
      <c r="E142" s="3" t="s">
        <v>301</v>
      </c>
      <c r="F142" s="3" t="s">
        <v>302</v>
      </c>
      <c r="G142" s="3"/>
      <c r="H142" s="3"/>
    </row>
    <row r="143" customFormat="false" ht="15" hidden="false" customHeight="true" outlineLevel="0" collapsed="false">
      <c r="A143" s="3" t="s">
        <v>282</v>
      </c>
      <c r="B143" s="4" t="s">
        <v>283</v>
      </c>
      <c r="C143" s="3" t="s">
        <v>352</v>
      </c>
      <c r="D143" s="3" t="s">
        <v>291</v>
      </c>
      <c r="E143" s="3" t="s">
        <v>292</v>
      </c>
      <c r="F143" s="3"/>
      <c r="G143" s="3"/>
      <c r="H143" s="3"/>
    </row>
    <row r="144" customFormat="false" ht="15" hidden="false" customHeight="true" outlineLevel="0" collapsed="false">
      <c r="A144" s="3" t="s">
        <v>282</v>
      </c>
      <c r="B144" s="4" t="s">
        <v>283</v>
      </c>
      <c r="C144" s="3" t="s">
        <v>353</v>
      </c>
      <c r="D144" s="3" t="s">
        <v>285</v>
      </c>
      <c r="E144" s="3" t="s">
        <v>286</v>
      </c>
      <c r="F144" s="3" t="s">
        <v>287</v>
      </c>
      <c r="G144" s="3"/>
      <c r="H144" s="3"/>
    </row>
    <row r="145" customFormat="false" ht="15" hidden="false" customHeight="true" outlineLevel="0" collapsed="false">
      <c r="A145" s="3" t="s">
        <v>282</v>
      </c>
      <c r="B145" s="4" t="s">
        <v>283</v>
      </c>
      <c r="C145" s="3" t="s">
        <v>353</v>
      </c>
      <c r="D145" s="3" t="s">
        <v>294</v>
      </c>
      <c r="E145" s="3" t="s">
        <v>295</v>
      </c>
      <c r="F145" s="3" t="s">
        <v>296</v>
      </c>
      <c r="G145" s="3"/>
      <c r="H145" s="3"/>
    </row>
    <row r="146" customFormat="false" ht="15" hidden="false" customHeight="true" outlineLevel="0" collapsed="false">
      <c r="A146" s="3" t="s">
        <v>282</v>
      </c>
      <c r="B146" s="4" t="s">
        <v>283</v>
      </c>
      <c r="C146" s="3" t="s">
        <v>353</v>
      </c>
      <c r="D146" s="3" t="s">
        <v>291</v>
      </c>
      <c r="E146" s="3" t="s">
        <v>292</v>
      </c>
      <c r="F146" s="3"/>
      <c r="G146" s="3"/>
      <c r="H146" s="3"/>
    </row>
    <row r="147" customFormat="false" ht="15" hidden="false" customHeight="true" outlineLevel="0" collapsed="false">
      <c r="A147" s="3" t="s">
        <v>282</v>
      </c>
      <c r="B147" s="4" t="s">
        <v>283</v>
      </c>
      <c r="C147" s="3" t="s">
        <v>354</v>
      </c>
      <c r="D147" s="3" t="s">
        <v>355</v>
      </c>
      <c r="E147" s="3" t="s">
        <v>356</v>
      </c>
      <c r="F147" s="3" t="s">
        <v>315</v>
      </c>
      <c r="G147" s="3"/>
      <c r="H147" s="3"/>
    </row>
    <row r="148" customFormat="false" ht="15" hidden="false" customHeight="true" outlineLevel="0" collapsed="false">
      <c r="A148" s="3" t="s">
        <v>282</v>
      </c>
      <c r="B148" s="4" t="s">
        <v>283</v>
      </c>
      <c r="C148" s="3" t="s">
        <v>354</v>
      </c>
      <c r="D148" s="3" t="s">
        <v>294</v>
      </c>
      <c r="E148" s="3" t="s">
        <v>295</v>
      </c>
      <c r="F148" s="3" t="s">
        <v>296</v>
      </c>
      <c r="G148" s="4" t="s">
        <v>135</v>
      </c>
      <c r="H148" s="3"/>
    </row>
    <row r="149" customFormat="false" ht="15" hidden="false" customHeight="true" outlineLevel="0" collapsed="false">
      <c r="A149" s="3" t="s">
        <v>282</v>
      </c>
      <c r="B149" s="4" t="s">
        <v>283</v>
      </c>
      <c r="C149" s="3" t="s">
        <v>354</v>
      </c>
      <c r="D149" s="3" t="s">
        <v>297</v>
      </c>
      <c r="E149" s="3" t="s">
        <v>298</v>
      </c>
      <c r="F149" s="3" t="s">
        <v>299</v>
      </c>
      <c r="G149" s="3"/>
      <c r="H149" s="3"/>
    </row>
    <row r="150" customFormat="false" ht="15" hidden="false" customHeight="true" outlineLevel="0" collapsed="false">
      <c r="A150" s="3" t="s">
        <v>282</v>
      </c>
      <c r="B150" s="4" t="s">
        <v>283</v>
      </c>
      <c r="C150" s="3" t="s">
        <v>354</v>
      </c>
      <c r="D150" s="3" t="s">
        <v>300</v>
      </c>
      <c r="E150" s="3" t="s">
        <v>292</v>
      </c>
      <c r="F150" s="3" t="s">
        <v>302</v>
      </c>
      <c r="G150" s="3"/>
      <c r="H150" s="3"/>
    </row>
    <row r="151" customFormat="false" ht="15" hidden="false" customHeight="true" outlineLevel="0" collapsed="false">
      <c r="A151" s="3" t="s">
        <v>282</v>
      </c>
      <c r="B151" s="4" t="s">
        <v>283</v>
      </c>
      <c r="C151" s="3" t="s">
        <v>357</v>
      </c>
      <c r="D151" s="3" t="s">
        <v>300</v>
      </c>
      <c r="E151" s="3" t="s">
        <v>292</v>
      </c>
      <c r="F151" s="3" t="s">
        <v>302</v>
      </c>
      <c r="G151" s="3"/>
      <c r="H151" s="3"/>
    </row>
    <row r="152" customFormat="false" ht="15" hidden="false" customHeight="true" outlineLevel="0" collapsed="false">
      <c r="A152" s="3" t="s">
        <v>282</v>
      </c>
      <c r="B152" s="4" t="s">
        <v>283</v>
      </c>
      <c r="C152" s="3" t="s">
        <v>74</v>
      </c>
      <c r="D152" s="3" t="s">
        <v>294</v>
      </c>
      <c r="E152" s="3" t="s">
        <v>358</v>
      </c>
      <c r="F152" s="3" t="s">
        <v>359</v>
      </c>
      <c r="G152" s="3"/>
      <c r="H152" s="3" t="s">
        <v>72</v>
      </c>
    </row>
    <row r="153" customFormat="false" ht="15" hidden="false" customHeight="true" outlineLevel="0" collapsed="false">
      <c r="A153" s="3" t="s">
        <v>282</v>
      </c>
      <c r="B153" s="4" t="s">
        <v>283</v>
      </c>
      <c r="C153" s="3" t="s">
        <v>74</v>
      </c>
      <c r="D153" s="3" t="s">
        <v>291</v>
      </c>
      <c r="E153" s="3" t="s">
        <v>292</v>
      </c>
      <c r="F153" s="3"/>
      <c r="G153" s="3"/>
      <c r="H153" s="3" t="s">
        <v>72</v>
      </c>
    </row>
    <row r="154" customFormat="false" ht="15" hidden="false" customHeight="true" outlineLevel="0" collapsed="false">
      <c r="A154" s="3" t="s">
        <v>282</v>
      </c>
      <c r="B154" s="4" t="s">
        <v>283</v>
      </c>
      <c r="C154" s="3" t="s">
        <v>79</v>
      </c>
      <c r="D154" s="3" t="s">
        <v>288</v>
      </c>
      <c r="E154" s="3" t="s">
        <v>289</v>
      </c>
      <c r="F154" s="3" t="s">
        <v>290</v>
      </c>
      <c r="G154" s="4" t="s">
        <v>135</v>
      </c>
      <c r="H154" s="3" t="s">
        <v>78</v>
      </c>
    </row>
    <row r="155" customFormat="false" ht="15" hidden="false" customHeight="true" outlineLevel="0" collapsed="false">
      <c r="A155" s="3" t="s">
        <v>282</v>
      </c>
      <c r="B155" s="4" t="s">
        <v>283</v>
      </c>
      <c r="C155" s="3" t="s">
        <v>79</v>
      </c>
      <c r="D155" s="3" t="s">
        <v>297</v>
      </c>
      <c r="E155" s="3" t="s">
        <v>298</v>
      </c>
      <c r="F155" s="3" t="s">
        <v>299</v>
      </c>
      <c r="G155" s="3"/>
      <c r="H155" s="3" t="s">
        <v>78</v>
      </c>
    </row>
    <row r="156" customFormat="false" ht="15" hidden="false" customHeight="true" outlineLevel="0" collapsed="false">
      <c r="A156" s="3" t="s">
        <v>282</v>
      </c>
      <c r="B156" s="4" t="s">
        <v>283</v>
      </c>
      <c r="C156" s="3" t="s">
        <v>81</v>
      </c>
      <c r="D156" s="3" t="s">
        <v>285</v>
      </c>
      <c r="E156" s="3" t="s">
        <v>286</v>
      </c>
      <c r="F156" s="3" t="s">
        <v>287</v>
      </c>
      <c r="G156" s="3"/>
      <c r="H156" s="3" t="s">
        <v>80</v>
      </c>
    </row>
    <row r="157" customFormat="false" ht="15" hidden="false" customHeight="true" outlineLevel="0" collapsed="false">
      <c r="A157" s="3" t="s">
        <v>282</v>
      </c>
      <c r="B157" s="4" t="s">
        <v>283</v>
      </c>
      <c r="C157" s="3" t="s">
        <v>81</v>
      </c>
      <c r="D157" s="3" t="s">
        <v>288</v>
      </c>
      <c r="E157" s="3" t="s">
        <v>289</v>
      </c>
      <c r="F157" s="3" t="s">
        <v>290</v>
      </c>
      <c r="G157" s="3"/>
      <c r="H157" s="3" t="s">
        <v>80</v>
      </c>
    </row>
    <row r="158" customFormat="false" ht="15" hidden="false" customHeight="true" outlineLevel="0" collapsed="false">
      <c r="A158" s="3" t="s">
        <v>282</v>
      </c>
      <c r="B158" s="4" t="s">
        <v>283</v>
      </c>
      <c r="C158" s="3" t="s">
        <v>81</v>
      </c>
      <c r="D158" s="3" t="s">
        <v>294</v>
      </c>
      <c r="E158" s="3" t="s">
        <v>295</v>
      </c>
      <c r="F158" s="3" t="s">
        <v>296</v>
      </c>
      <c r="G158" s="3"/>
      <c r="H158" s="3" t="s">
        <v>80</v>
      </c>
    </row>
    <row r="159" customFormat="false" ht="15" hidden="false" customHeight="true" outlineLevel="0" collapsed="false">
      <c r="A159" s="3" t="s">
        <v>282</v>
      </c>
      <c r="B159" s="4" t="s">
        <v>283</v>
      </c>
      <c r="C159" s="3" t="s">
        <v>81</v>
      </c>
      <c r="D159" s="3" t="s">
        <v>297</v>
      </c>
      <c r="E159" s="3" t="s">
        <v>298</v>
      </c>
      <c r="F159" s="3" t="s">
        <v>299</v>
      </c>
      <c r="G159" s="3"/>
      <c r="H159" s="3" t="s">
        <v>80</v>
      </c>
    </row>
    <row r="160" customFormat="false" ht="15" hidden="false" customHeight="true" outlineLevel="0" collapsed="false">
      <c r="A160" s="3" t="s">
        <v>282</v>
      </c>
      <c r="B160" s="4" t="s">
        <v>283</v>
      </c>
      <c r="C160" s="3" t="s">
        <v>83</v>
      </c>
      <c r="D160" s="3" t="s">
        <v>285</v>
      </c>
      <c r="E160" s="3" t="s">
        <v>286</v>
      </c>
      <c r="F160" s="3" t="s">
        <v>287</v>
      </c>
      <c r="G160" s="3"/>
      <c r="H160" s="3" t="s">
        <v>82</v>
      </c>
    </row>
    <row r="161" customFormat="false" ht="15" hidden="false" customHeight="true" outlineLevel="0" collapsed="false">
      <c r="A161" s="3" t="s">
        <v>282</v>
      </c>
      <c r="B161" s="4" t="s">
        <v>283</v>
      </c>
      <c r="C161" s="3" t="s">
        <v>83</v>
      </c>
      <c r="D161" s="3" t="s">
        <v>288</v>
      </c>
      <c r="E161" s="3" t="s">
        <v>289</v>
      </c>
      <c r="F161" s="3" t="s">
        <v>290</v>
      </c>
      <c r="G161" s="3"/>
      <c r="H161" s="3" t="s">
        <v>82</v>
      </c>
    </row>
    <row r="162" customFormat="false" ht="15" hidden="false" customHeight="true" outlineLevel="0" collapsed="false">
      <c r="A162" s="3" t="s">
        <v>282</v>
      </c>
      <c r="B162" s="4" t="s">
        <v>283</v>
      </c>
      <c r="C162" s="3" t="s">
        <v>83</v>
      </c>
      <c r="D162" s="3" t="s">
        <v>294</v>
      </c>
      <c r="E162" s="3" t="s">
        <v>295</v>
      </c>
      <c r="F162" s="3" t="s">
        <v>296</v>
      </c>
      <c r="G162" s="3"/>
      <c r="H162" s="3" t="s">
        <v>82</v>
      </c>
    </row>
    <row r="163" customFormat="false" ht="15" hidden="false" customHeight="true" outlineLevel="0" collapsed="false">
      <c r="A163" s="3" t="s">
        <v>282</v>
      </c>
      <c r="B163" s="4" t="s">
        <v>283</v>
      </c>
      <c r="C163" s="3" t="s">
        <v>83</v>
      </c>
      <c r="D163" s="3" t="s">
        <v>311</v>
      </c>
      <c r="E163" s="3" t="s">
        <v>298</v>
      </c>
      <c r="F163" s="3" t="s">
        <v>299</v>
      </c>
      <c r="G163" s="3"/>
      <c r="H163" s="3" t="s">
        <v>82</v>
      </c>
    </row>
    <row r="164" customFormat="false" ht="15" hidden="false" customHeight="true" outlineLevel="0" collapsed="false">
      <c r="A164" s="3" t="s">
        <v>282</v>
      </c>
      <c r="B164" s="4" t="s">
        <v>283</v>
      </c>
      <c r="C164" s="3" t="s">
        <v>83</v>
      </c>
      <c r="D164" s="3" t="s">
        <v>300</v>
      </c>
      <c r="E164" s="3" t="s">
        <v>301</v>
      </c>
      <c r="F164" s="3" t="s">
        <v>302</v>
      </c>
      <c r="G164" s="3"/>
      <c r="H164" s="3" t="s">
        <v>82</v>
      </c>
    </row>
    <row r="165" customFormat="false" ht="15" hidden="false" customHeight="true" outlineLevel="0" collapsed="false">
      <c r="A165" s="3" t="s">
        <v>282</v>
      </c>
      <c r="B165" s="4" t="s">
        <v>283</v>
      </c>
      <c r="C165" s="3" t="s">
        <v>83</v>
      </c>
      <c r="D165" s="3" t="s">
        <v>291</v>
      </c>
      <c r="E165" s="3" t="s">
        <v>292</v>
      </c>
      <c r="F165" s="3"/>
      <c r="G165" s="3"/>
      <c r="H165" s="3" t="s">
        <v>82</v>
      </c>
    </row>
    <row r="166" customFormat="false" ht="15" hidden="false" customHeight="true" outlineLevel="0" collapsed="false">
      <c r="A166" s="3" t="s">
        <v>282</v>
      </c>
      <c r="B166" s="4" t="s">
        <v>283</v>
      </c>
      <c r="C166" s="3" t="s">
        <v>85</v>
      </c>
      <c r="D166" s="3" t="s">
        <v>285</v>
      </c>
      <c r="E166" s="3" t="s">
        <v>286</v>
      </c>
      <c r="F166" s="3" t="s">
        <v>287</v>
      </c>
      <c r="G166" s="3"/>
      <c r="H166" s="3" t="s">
        <v>84</v>
      </c>
    </row>
    <row r="167" customFormat="false" ht="15" hidden="false" customHeight="true" outlineLevel="0" collapsed="false">
      <c r="A167" s="3" t="s">
        <v>282</v>
      </c>
      <c r="B167" s="4" t="s">
        <v>283</v>
      </c>
      <c r="C167" s="3" t="s">
        <v>85</v>
      </c>
      <c r="D167" s="3" t="s">
        <v>288</v>
      </c>
      <c r="E167" s="3" t="s">
        <v>289</v>
      </c>
      <c r="F167" s="3" t="s">
        <v>290</v>
      </c>
      <c r="G167" s="3"/>
      <c r="H167" s="3" t="s">
        <v>84</v>
      </c>
    </row>
    <row r="168" customFormat="false" ht="15" hidden="false" customHeight="true" outlineLevel="0" collapsed="false">
      <c r="A168" s="3" t="s">
        <v>282</v>
      </c>
      <c r="B168" s="4" t="s">
        <v>283</v>
      </c>
      <c r="C168" s="3" t="s">
        <v>85</v>
      </c>
      <c r="D168" s="3" t="s">
        <v>294</v>
      </c>
      <c r="E168" s="3" t="s">
        <v>295</v>
      </c>
      <c r="F168" s="3" t="s">
        <v>296</v>
      </c>
      <c r="G168" s="3"/>
      <c r="H168" s="3" t="s">
        <v>84</v>
      </c>
    </row>
    <row r="169" customFormat="false" ht="15" hidden="false" customHeight="true" outlineLevel="0" collapsed="false">
      <c r="A169" s="3" t="s">
        <v>282</v>
      </c>
      <c r="B169" s="4" t="s">
        <v>283</v>
      </c>
      <c r="C169" s="3" t="s">
        <v>85</v>
      </c>
      <c r="D169" s="3" t="s">
        <v>300</v>
      </c>
      <c r="E169" s="3" t="s">
        <v>301</v>
      </c>
      <c r="F169" s="3" t="s">
        <v>302</v>
      </c>
      <c r="G169" s="3"/>
      <c r="H169" s="3" t="s">
        <v>84</v>
      </c>
    </row>
    <row r="170" customFormat="false" ht="15" hidden="false" customHeight="true" outlineLevel="0" collapsed="false">
      <c r="A170" s="3" t="s">
        <v>282</v>
      </c>
      <c r="B170" s="4" t="s">
        <v>283</v>
      </c>
      <c r="C170" s="3" t="s">
        <v>85</v>
      </c>
      <c r="D170" s="3" t="s">
        <v>291</v>
      </c>
      <c r="E170" s="3" t="s">
        <v>292</v>
      </c>
      <c r="F170" s="3"/>
      <c r="G170" s="3"/>
      <c r="H170" s="3" t="s">
        <v>84</v>
      </c>
    </row>
    <row r="171" customFormat="false" ht="15" hidden="false" customHeight="true" outlineLevel="0" collapsed="false">
      <c r="A171" s="3" t="s">
        <v>282</v>
      </c>
      <c r="B171" s="4" t="s">
        <v>283</v>
      </c>
      <c r="C171" s="3" t="s">
        <v>87</v>
      </c>
      <c r="D171" s="3" t="s">
        <v>285</v>
      </c>
      <c r="E171" s="3" t="s">
        <v>286</v>
      </c>
      <c r="F171" s="3" t="s">
        <v>287</v>
      </c>
      <c r="G171" s="3"/>
      <c r="H171" s="3" t="s">
        <v>86</v>
      </c>
    </row>
    <row r="172" customFormat="false" ht="15" hidden="false" customHeight="true" outlineLevel="0" collapsed="false">
      <c r="A172" s="3" t="s">
        <v>282</v>
      </c>
      <c r="B172" s="4" t="s">
        <v>283</v>
      </c>
      <c r="C172" s="3" t="s">
        <v>87</v>
      </c>
      <c r="D172" s="3" t="s">
        <v>288</v>
      </c>
      <c r="E172" s="3" t="s">
        <v>289</v>
      </c>
      <c r="F172" s="3" t="s">
        <v>290</v>
      </c>
      <c r="G172" s="3"/>
      <c r="H172" s="3" t="s">
        <v>86</v>
      </c>
    </row>
    <row r="173" customFormat="false" ht="15" hidden="false" customHeight="true" outlineLevel="0" collapsed="false">
      <c r="A173" s="3" t="s">
        <v>282</v>
      </c>
      <c r="B173" s="4" t="s">
        <v>283</v>
      </c>
      <c r="C173" s="3" t="s">
        <v>87</v>
      </c>
      <c r="D173" s="3" t="s">
        <v>294</v>
      </c>
      <c r="E173" s="3" t="s">
        <v>295</v>
      </c>
      <c r="F173" s="3" t="s">
        <v>296</v>
      </c>
      <c r="G173" s="3"/>
      <c r="H173" s="3" t="s">
        <v>86</v>
      </c>
    </row>
    <row r="174" customFormat="false" ht="15" hidden="false" customHeight="true" outlineLevel="0" collapsed="false">
      <c r="A174" s="3" t="s">
        <v>282</v>
      </c>
      <c r="B174" s="4" t="s">
        <v>283</v>
      </c>
      <c r="C174" s="3" t="s">
        <v>87</v>
      </c>
      <c r="D174" s="3" t="s">
        <v>300</v>
      </c>
      <c r="E174" s="3" t="s">
        <v>301</v>
      </c>
      <c r="F174" s="3" t="s">
        <v>302</v>
      </c>
      <c r="G174" s="3"/>
      <c r="H174" s="3" t="s">
        <v>86</v>
      </c>
    </row>
    <row r="175" customFormat="false" ht="15" hidden="false" customHeight="true" outlineLevel="0" collapsed="false">
      <c r="A175" s="3" t="s">
        <v>282</v>
      </c>
      <c r="B175" s="4" t="s">
        <v>283</v>
      </c>
      <c r="C175" s="3" t="s">
        <v>87</v>
      </c>
      <c r="D175" s="3" t="s">
        <v>291</v>
      </c>
      <c r="E175" s="3" t="s">
        <v>292</v>
      </c>
      <c r="F175" s="3"/>
      <c r="G175" s="3"/>
      <c r="H175" s="3" t="s">
        <v>86</v>
      </c>
    </row>
    <row r="176" customFormat="false" ht="15" hidden="false" customHeight="true" outlineLevel="0" collapsed="false">
      <c r="A176" s="3" t="s">
        <v>282</v>
      </c>
      <c r="B176" s="4" t="s">
        <v>283</v>
      </c>
      <c r="C176" s="3" t="s">
        <v>89</v>
      </c>
      <c r="D176" s="3" t="s">
        <v>285</v>
      </c>
      <c r="E176" s="3" t="s">
        <v>286</v>
      </c>
      <c r="F176" s="3" t="s">
        <v>287</v>
      </c>
      <c r="G176" s="3"/>
      <c r="H176" s="3" t="s">
        <v>88</v>
      </c>
    </row>
    <row r="177" customFormat="false" ht="15" hidden="false" customHeight="true" outlineLevel="0" collapsed="false">
      <c r="A177" s="3" t="s">
        <v>282</v>
      </c>
      <c r="B177" s="4" t="s">
        <v>283</v>
      </c>
      <c r="C177" s="3" t="s">
        <v>89</v>
      </c>
      <c r="D177" s="3" t="s">
        <v>288</v>
      </c>
      <c r="E177" s="3" t="s">
        <v>289</v>
      </c>
      <c r="F177" s="3" t="s">
        <v>290</v>
      </c>
      <c r="G177" s="3"/>
      <c r="H177" s="3" t="s">
        <v>88</v>
      </c>
    </row>
    <row r="178" customFormat="false" ht="15" hidden="false" customHeight="true" outlineLevel="0" collapsed="false">
      <c r="A178" s="3" t="s">
        <v>282</v>
      </c>
      <c r="B178" s="4" t="s">
        <v>283</v>
      </c>
      <c r="C178" s="3" t="s">
        <v>89</v>
      </c>
      <c r="D178" s="3" t="s">
        <v>297</v>
      </c>
      <c r="E178" s="3" t="s">
        <v>298</v>
      </c>
      <c r="F178" s="3" t="s">
        <v>299</v>
      </c>
      <c r="G178" s="3"/>
      <c r="H178" s="3" t="s">
        <v>88</v>
      </c>
    </row>
    <row r="179" customFormat="false" ht="15" hidden="false" customHeight="true" outlineLevel="0" collapsed="false">
      <c r="A179" s="3" t="s">
        <v>282</v>
      </c>
      <c r="B179" s="4" t="s">
        <v>283</v>
      </c>
      <c r="C179" s="3" t="s">
        <v>89</v>
      </c>
      <c r="D179" s="3" t="s">
        <v>291</v>
      </c>
      <c r="E179" s="3" t="s">
        <v>292</v>
      </c>
      <c r="F179" s="3"/>
      <c r="G179" s="3"/>
      <c r="H179" s="3" t="s">
        <v>88</v>
      </c>
    </row>
    <row r="180" customFormat="false" ht="15" hidden="false" customHeight="true" outlineLevel="0" collapsed="false">
      <c r="A180" s="3" t="s">
        <v>282</v>
      </c>
      <c r="B180" s="4" t="s">
        <v>283</v>
      </c>
      <c r="C180" s="3" t="s">
        <v>91</v>
      </c>
      <c r="D180" s="3" t="s">
        <v>285</v>
      </c>
      <c r="E180" s="3" t="s">
        <v>286</v>
      </c>
      <c r="F180" s="3" t="s">
        <v>287</v>
      </c>
      <c r="G180" s="3"/>
      <c r="H180" s="3" t="s">
        <v>90</v>
      </c>
    </row>
    <row r="181" customFormat="false" ht="15" hidden="false" customHeight="true" outlineLevel="0" collapsed="false">
      <c r="A181" s="3" t="s">
        <v>282</v>
      </c>
      <c r="B181" s="4" t="s">
        <v>283</v>
      </c>
      <c r="C181" s="3" t="s">
        <v>91</v>
      </c>
      <c r="D181" s="3" t="s">
        <v>288</v>
      </c>
      <c r="E181" s="3" t="s">
        <v>289</v>
      </c>
      <c r="F181" s="3" t="s">
        <v>290</v>
      </c>
      <c r="G181" s="3"/>
      <c r="H181" s="3" t="s">
        <v>90</v>
      </c>
    </row>
    <row r="182" customFormat="false" ht="15" hidden="false" customHeight="true" outlineLevel="0" collapsed="false">
      <c r="A182" s="3" t="s">
        <v>282</v>
      </c>
      <c r="B182" s="4" t="s">
        <v>283</v>
      </c>
      <c r="C182" s="3" t="s">
        <v>91</v>
      </c>
      <c r="D182" s="3" t="s">
        <v>297</v>
      </c>
      <c r="E182" s="3" t="s">
        <v>298</v>
      </c>
      <c r="F182" s="3" t="s">
        <v>299</v>
      </c>
      <c r="G182" s="3"/>
      <c r="H182" s="3" t="s">
        <v>90</v>
      </c>
    </row>
    <row r="183" customFormat="false" ht="15" hidden="false" customHeight="true" outlineLevel="0" collapsed="false">
      <c r="A183" s="3" t="s">
        <v>282</v>
      </c>
      <c r="B183" s="4" t="s">
        <v>283</v>
      </c>
      <c r="C183" s="3" t="s">
        <v>91</v>
      </c>
      <c r="D183" s="3" t="s">
        <v>291</v>
      </c>
      <c r="E183" s="3" t="s">
        <v>292</v>
      </c>
      <c r="F183" s="3"/>
      <c r="G183" s="3"/>
      <c r="H183" s="3" t="s">
        <v>90</v>
      </c>
    </row>
    <row r="184" customFormat="false" ht="15" hidden="false" customHeight="true" outlineLevel="0" collapsed="false">
      <c r="A184" s="3" t="s">
        <v>282</v>
      </c>
      <c r="B184" s="4" t="s">
        <v>283</v>
      </c>
      <c r="C184" s="3" t="s">
        <v>93</v>
      </c>
      <c r="D184" s="3" t="s">
        <v>285</v>
      </c>
      <c r="E184" s="3" t="s">
        <v>286</v>
      </c>
      <c r="F184" s="3" t="s">
        <v>287</v>
      </c>
      <c r="G184" s="3"/>
      <c r="H184" s="3" t="s">
        <v>92</v>
      </c>
    </row>
    <row r="185" customFormat="false" ht="15" hidden="false" customHeight="true" outlineLevel="0" collapsed="false">
      <c r="A185" s="3" t="s">
        <v>282</v>
      </c>
      <c r="B185" s="4" t="s">
        <v>283</v>
      </c>
      <c r="C185" s="3" t="s">
        <v>93</v>
      </c>
      <c r="D185" s="3" t="s">
        <v>288</v>
      </c>
      <c r="E185" s="3" t="s">
        <v>289</v>
      </c>
      <c r="F185" s="3" t="s">
        <v>290</v>
      </c>
      <c r="G185" s="3"/>
      <c r="H185" s="3" t="s">
        <v>92</v>
      </c>
    </row>
    <row r="186" customFormat="false" ht="15" hidden="false" customHeight="true" outlineLevel="0" collapsed="false">
      <c r="A186" s="3" t="s">
        <v>282</v>
      </c>
      <c r="B186" s="4" t="s">
        <v>283</v>
      </c>
      <c r="C186" s="3" t="s">
        <v>93</v>
      </c>
      <c r="D186" s="3" t="s">
        <v>294</v>
      </c>
      <c r="E186" s="3" t="s">
        <v>295</v>
      </c>
      <c r="F186" s="3" t="s">
        <v>296</v>
      </c>
      <c r="G186" s="3"/>
      <c r="H186" s="3" t="s">
        <v>92</v>
      </c>
    </row>
    <row r="187" customFormat="false" ht="15" hidden="false" customHeight="true" outlineLevel="0" collapsed="false">
      <c r="A187" s="3" t="s">
        <v>282</v>
      </c>
      <c r="B187" s="4" t="s">
        <v>283</v>
      </c>
      <c r="C187" s="3" t="s">
        <v>93</v>
      </c>
      <c r="D187" s="3" t="s">
        <v>297</v>
      </c>
      <c r="E187" s="3" t="s">
        <v>298</v>
      </c>
      <c r="F187" s="3" t="s">
        <v>299</v>
      </c>
      <c r="G187" s="3"/>
      <c r="H187" s="3" t="s">
        <v>92</v>
      </c>
    </row>
    <row r="188" customFormat="false" ht="15" hidden="false" customHeight="true" outlineLevel="0" collapsed="false">
      <c r="A188" s="3" t="s">
        <v>282</v>
      </c>
      <c r="B188" s="4" t="s">
        <v>283</v>
      </c>
      <c r="C188" s="3" t="s">
        <v>93</v>
      </c>
      <c r="D188" s="3" t="s">
        <v>300</v>
      </c>
      <c r="E188" s="3" t="s">
        <v>301</v>
      </c>
      <c r="F188" s="3" t="s">
        <v>302</v>
      </c>
      <c r="G188" s="3"/>
      <c r="H188" s="3" t="s">
        <v>92</v>
      </c>
    </row>
    <row r="189" customFormat="false" ht="15" hidden="false" customHeight="true" outlineLevel="0" collapsed="false">
      <c r="A189" s="3" t="s">
        <v>282</v>
      </c>
      <c r="B189" s="4" t="s">
        <v>283</v>
      </c>
      <c r="C189" s="3" t="s">
        <v>360</v>
      </c>
      <c r="D189" s="3" t="s">
        <v>333</v>
      </c>
      <c r="E189" s="3" t="s">
        <v>334</v>
      </c>
      <c r="F189" s="3" t="s">
        <v>320</v>
      </c>
      <c r="G189" s="3"/>
      <c r="H189" s="3"/>
    </row>
    <row r="190" customFormat="false" ht="15" hidden="false" customHeight="true" outlineLevel="0" collapsed="false">
      <c r="A190" s="3" t="s">
        <v>282</v>
      </c>
      <c r="B190" s="4" t="s">
        <v>283</v>
      </c>
      <c r="C190" s="3" t="s">
        <v>97</v>
      </c>
      <c r="D190" s="3" t="s">
        <v>285</v>
      </c>
      <c r="E190" s="3" t="s">
        <v>286</v>
      </c>
      <c r="F190" s="3" t="s">
        <v>287</v>
      </c>
      <c r="G190" s="3"/>
      <c r="H190" s="3" t="s">
        <v>96</v>
      </c>
    </row>
    <row r="191" customFormat="false" ht="15" hidden="false" customHeight="true" outlineLevel="0" collapsed="false">
      <c r="A191" s="3" t="s">
        <v>282</v>
      </c>
      <c r="B191" s="4" t="s">
        <v>283</v>
      </c>
      <c r="C191" s="3" t="s">
        <v>97</v>
      </c>
      <c r="D191" s="3" t="s">
        <v>288</v>
      </c>
      <c r="E191" s="3" t="s">
        <v>289</v>
      </c>
      <c r="F191" s="3" t="s">
        <v>290</v>
      </c>
      <c r="G191" s="3"/>
      <c r="H191" s="3" t="s">
        <v>96</v>
      </c>
    </row>
    <row r="192" customFormat="false" ht="15" hidden="false" customHeight="true" outlineLevel="0" collapsed="false">
      <c r="A192" s="3" t="s">
        <v>282</v>
      </c>
      <c r="B192" s="4" t="s">
        <v>283</v>
      </c>
      <c r="C192" s="3" t="s">
        <v>97</v>
      </c>
      <c r="D192" s="3" t="s">
        <v>294</v>
      </c>
      <c r="E192" s="3" t="s">
        <v>295</v>
      </c>
      <c r="F192" s="3" t="s">
        <v>296</v>
      </c>
      <c r="G192" s="4" t="s">
        <v>135</v>
      </c>
      <c r="H192" s="3" t="s">
        <v>96</v>
      </c>
    </row>
    <row r="193" customFormat="false" ht="15" hidden="false" customHeight="true" outlineLevel="0" collapsed="false">
      <c r="A193" s="3" t="s">
        <v>282</v>
      </c>
      <c r="B193" s="4" t="s">
        <v>283</v>
      </c>
      <c r="C193" s="3" t="s">
        <v>97</v>
      </c>
      <c r="D193" s="3" t="s">
        <v>291</v>
      </c>
      <c r="E193" s="3" t="s">
        <v>292</v>
      </c>
      <c r="F193" s="3"/>
      <c r="G193" s="3"/>
      <c r="H193" s="3" t="s">
        <v>96</v>
      </c>
    </row>
    <row r="194" customFormat="false" ht="15" hidden="false" customHeight="true" outlineLevel="0" collapsed="false">
      <c r="A194" s="3" t="s">
        <v>282</v>
      </c>
      <c r="B194" s="4" t="s">
        <v>283</v>
      </c>
      <c r="C194" s="3" t="s">
        <v>99</v>
      </c>
      <c r="D194" s="3" t="s">
        <v>285</v>
      </c>
      <c r="E194" s="3" t="s">
        <v>286</v>
      </c>
      <c r="F194" s="3" t="s">
        <v>287</v>
      </c>
      <c r="G194" s="3"/>
      <c r="H194" s="3" t="s">
        <v>98</v>
      </c>
    </row>
    <row r="195" customFormat="false" ht="15" hidden="false" customHeight="true" outlineLevel="0" collapsed="false">
      <c r="A195" s="3" t="s">
        <v>282</v>
      </c>
      <c r="B195" s="4" t="s">
        <v>283</v>
      </c>
      <c r="C195" s="3" t="s">
        <v>99</v>
      </c>
      <c r="D195" s="3" t="s">
        <v>288</v>
      </c>
      <c r="E195" s="3" t="s">
        <v>289</v>
      </c>
      <c r="F195" s="3" t="s">
        <v>290</v>
      </c>
      <c r="G195" s="3"/>
      <c r="H195" s="3" t="s">
        <v>98</v>
      </c>
    </row>
    <row r="196" customFormat="false" ht="15" hidden="false" customHeight="true" outlineLevel="0" collapsed="false">
      <c r="A196" s="3" t="s">
        <v>282</v>
      </c>
      <c r="B196" s="4" t="s">
        <v>283</v>
      </c>
      <c r="C196" s="3" t="s">
        <v>99</v>
      </c>
      <c r="D196" s="3" t="s">
        <v>294</v>
      </c>
      <c r="E196" s="3" t="s">
        <v>295</v>
      </c>
      <c r="F196" s="3" t="s">
        <v>296</v>
      </c>
      <c r="G196" s="3"/>
      <c r="H196" s="3" t="s">
        <v>98</v>
      </c>
    </row>
    <row r="197" customFormat="false" ht="15" hidden="false" customHeight="true" outlineLevel="0" collapsed="false">
      <c r="A197" s="3" t="s">
        <v>282</v>
      </c>
      <c r="B197" s="4" t="s">
        <v>283</v>
      </c>
      <c r="C197" s="3" t="s">
        <v>99</v>
      </c>
      <c r="D197" s="3" t="s">
        <v>297</v>
      </c>
      <c r="E197" s="3" t="s">
        <v>298</v>
      </c>
      <c r="F197" s="3" t="s">
        <v>299</v>
      </c>
      <c r="G197" s="3"/>
      <c r="H197" s="3" t="s">
        <v>98</v>
      </c>
    </row>
    <row r="198" customFormat="false" ht="15" hidden="false" customHeight="true" outlineLevel="0" collapsed="false">
      <c r="A198" s="3" t="s">
        <v>282</v>
      </c>
      <c r="B198" s="4" t="s">
        <v>283</v>
      </c>
      <c r="C198" s="3" t="s">
        <v>101</v>
      </c>
      <c r="D198" s="3" t="s">
        <v>285</v>
      </c>
      <c r="E198" s="3" t="s">
        <v>286</v>
      </c>
      <c r="F198" s="3" t="s">
        <v>287</v>
      </c>
      <c r="G198" s="3"/>
      <c r="H198" s="3" t="s">
        <v>100</v>
      </c>
    </row>
    <row r="199" customFormat="false" ht="15" hidden="false" customHeight="true" outlineLevel="0" collapsed="false">
      <c r="A199" s="3" t="s">
        <v>282</v>
      </c>
      <c r="B199" s="4" t="s">
        <v>283</v>
      </c>
      <c r="C199" s="3" t="s">
        <v>101</v>
      </c>
      <c r="D199" s="3" t="s">
        <v>294</v>
      </c>
      <c r="E199" s="3" t="s">
        <v>295</v>
      </c>
      <c r="F199" s="3" t="s">
        <v>296</v>
      </c>
      <c r="G199" s="3"/>
      <c r="H199" s="3" t="s">
        <v>100</v>
      </c>
    </row>
    <row r="200" customFormat="false" ht="15" hidden="false" customHeight="true" outlineLevel="0" collapsed="false">
      <c r="A200" s="3" t="s">
        <v>282</v>
      </c>
      <c r="B200" s="4" t="s">
        <v>283</v>
      </c>
      <c r="C200" s="3" t="s">
        <v>101</v>
      </c>
      <c r="D200" s="3" t="s">
        <v>297</v>
      </c>
      <c r="E200" s="3" t="s">
        <v>298</v>
      </c>
      <c r="F200" s="3" t="s">
        <v>299</v>
      </c>
      <c r="G200" s="3"/>
      <c r="H200" s="3" t="s">
        <v>100</v>
      </c>
    </row>
    <row r="201" customFormat="false" ht="15" hidden="false" customHeight="true" outlineLevel="0" collapsed="false">
      <c r="A201" s="3" t="s">
        <v>282</v>
      </c>
      <c r="B201" s="4" t="s">
        <v>283</v>
      </c>
      <c r="C201" s="3" t="s">
        <v>101</v>
      </c>
      <c r="D201" s="3" t="s">
        <v>300</v>
      </c>
      <c r="E201" s="3" t="s">
        <v>301</v>
      </c>
      <c r="F201" s="3" t="s">
        <v>302</v>
      </c>
      <c r="G201" s="3"/>
      <c r="H201" s="3" t="s">
        <v>100</v>
      </c>
    </row>
    <row r="202" customFormat="false" ht="15" hidden="false" customHeight="true" outlineLevel="0" collapsed="false">
      <c r="A202" s="3" t="s">
        <v>282</v>
      </c>
      <c r="B202" s="4" t="s">
        <v>283</v>
      </c>
      <c r="C202" s="3" t="s">
        <v>103</v>
      </c>
      <c r="D202" s="3" t="s">
        <v>285</v>
      </c>
      <c r="E202" s="3" t="s">
        <v>286</v>
      </c>
      <c r="F202" s="3" t="s">
        <v>287</v>
      </c>
      <c r="G202" s="4" t="s">
        <v>135</v>
      </c>
      <c r="H202" s="3" t="s">
        <v>102</v>
      </c>
    </row>
    <row r="203" customFormat="false" ht="15" hidden="false" customHeight="true" outlineLevel="0" collapsed="false">
      <c r="A203" s="3" t="s">
        <v>282</v>
      </c>
      <c r="B203" s="4" t="s">
        <v>283</v>
      </c>
      <c r="C203" s="3" t="s">
        <v>103</v>
      </c>
      <c r="D203" s="3" t="s">
        <v>294</v>
      </c>
      <c r="E203" s="3" t="s">
        <v>295</v>
      </c>
      <c r="F203" s="3" t="s">
        <v>296</v>
      </c>
      <c r="G203" s="3"/>
      <c r="H203" s="3" t="s">
        <v>102</v>
      </c>
    </row>
    <row r="204" customFormat="false" ht="15" hidden="false" customHeight="true" outlineLevel="0" collapsed="false">
      <c r="A204" s="3" t="s">
        <v>282</v>
      </c>
      <c r="B204" s="4" t="s">
        <v>283</v>
      </c>
      <c r="C204" s="3" t="s">
        <v>103</v>
      </c>
      <c r="D204" s="3" t="s">
        <v>297</v>
      </c>
      <c r="E204" s="3" t="s">
        <v>298</v>
      </c>
      <c r="F204" s="3" t="s">
        <v>299</v>
      </c>
      <c r="G204" s="3"/>
      <c r="H204" s="3" t="s">
        <v>102</v>
      </c>
    </row>
    <row r="205" customFormat="false" ht="15" hidden="false" customHeight="true" outlineLevel="0" collapsed="false">
      <c r="A205" s="3" t="s">
        <v>282</v>
      </c>
      <c r="B205" s="4" t="s">
        <v>283</v>
      </c>
      <c r="C205" s="3" t="s">
        <v>103</v>
      </c>
      <c r="D205" s="3" t="s">
        <v>300</v>
      </c>
      <c r="E205" s="3" t="s">
        <v>301</v>
      </c>
      <c r="F205" s="3" t="s">
        <v>302</v>
      </c>
      <c r="G205" s="3"/>
      <c r="H205" s="3" t="s">
        <v>102</v>
      </c>
    </row>
    <row r="206" customFormat="false" ht="15" hidden="false" customHeight="true" outlineLevel="0" collapsed="false">
      <c r="A206" s="3" t="s">
        <v>282</v>
      </c>
      <c r="B206" s="4" t="s">
        <v>283</v>
      </c>
      <c r="C206" s="3" t="s">
        <v>105</v>
      </c>
      <c r="D206" s="3" t="s">
        <v>294</v>
      </c>
      <c r="E206" s="3" t="s">
        <v>295</v>
      </c>
      <c r="F206" s="3" t="s">
        <v>296</v>
      </c>
      <c r="G206" s="3"/>
      <c r="H206" s="3" t="s">
        <v>104</v>
      </c>
    </row>
    <row r="207" customFormat="false" ht="15" hidden="false" customHeight="true" outlineLevel="0" collapsed="false">
      <c r="A207" s="3" t="s">
        <v>282</v>
      </c>
      <c r="B207" s="4" t="s">
        <v>283</v>
      </c>
      <c r="C207" s="3" t="s">
        <v>107</v>
      </c>
      <c r="D207" s="3" t="s">
        <v>297</v>
      </c>
      <c r="E207" s="3" t="s">
        <v>298</v>
      </c>
      <c r="F207" s="3" t="s">
        <v>299</v>
      </c>
      <c r="G207" s="3"/>
      <c r="H207" s="3" t="s">
        <v>106</v>
      </c>
    </row>
    <row r="208" customFormat="false" ht="15" hidden="false" customHeight="true" outlineLevel="0" collapsed="false">
      <c r="A208" s="3" t="s">
        <v>282</v>
      </c>
      <c r="B208" s="4" t="s">
        <v>283</v>
      </c>
      <c r="C208" s="3" t="s">
        <v>109</v>
      </c>
      <c r="D208" s="3" t="s">
        <v>294</v>
      </c>
      <c r="E208" s="3" t="s">
        <v>295</v>
      </c>
      <c r="F208" s="3" t="s">
        <v>296</v>
      </c>
      <c r="G208" s="3"/>
      <c r="H208" s="3" t="s">
        <v>108</v>
      </c>
    </row>
    <row r="209" customFormat="false" ht="15" hidden="false" customHeight="true" outlineLevel="0" collapsed="false">
      <c r="A209" s="3" t="s">
        <v>282</v>
      </c>
      <c r="B209" s="4" t="s">
        <v>283</v>
      </c>
      <c r="C209" s="3" t="s">
        <v>109</v>
      </c>
      <c r="D209" s="3" t="s">
        <v>291</v>
      </c>
      <c r="E209" s="3" t="s">
        <v>292</v>
      </c>
      <c r="F209" s="3"/>
      <c r="G209" s="3"/>
      <c r="H209" s="3" t="s">
        <v>108</v>
      </c>
    </row>
    <row r="210" customFormat="false" ht="15" hidden="false" customHeight="true" outlineLevel="0" collapsed="false">
      <c r="A210" s="3" t="s">
        <v>282</v>
      </c>
      <c r="B210" s="4" t="s">
        <v>283</v>
      </c>
      <c r="C210" s="3" t="s">
        <v>111</v>
      </c>
      <c r="D210" s="3" t="s">
        <v>294</v>
      </c>
      <c r="E210" s="3" t="s">
        <v>295</v>
      </c>
      <c r="F210" s="3" t="s">
        <v>296</v>
      </c>
      <c r="G210" s="3"/>
      <c r="H210" s="3" t="s">
        <v>110</v>
      </c>
    </row>
    <row r="211" customFormat="false" ht="15" hidden="false" customHeight="true" outlineLevel="0" collapsed="false">
      <c r="A211" s="3" t="s">
        <v>282</v>
      </c>
      <c r="B211" s="4" t="s">
        <v>283</v>
      </c>
      <c r="C211" s="3" t="s">
        <v>111</v>
      </c>
      <c r="D211" s="3" t="s">
        <v>297</v>
      </c>
      <c r="E211" s="3" t="s">
        <v>298</v>
      </c>
      <c r="F211" s="3" t="s">
        <v>299</v>
      </c>
      <c r="G211" s="3"/>
      <c r="H211" s="3" t="s">
        <v>110</v>
      </c>
    </row>
    <row r="212" customFormat="false" ht="15" hidden="false" customHeight="true" outlineLevel="0" collapsed="false">
      <c r="A212" s="3" t="s">
        <v>282</v>
      </c>
      <c r="B212" s="4" t="s">
        <v>283</v>
      </c>
      <c r="C212" s="3" t="s">
        <v>113</v>
      </c>
      <c r="D212" s="3" t="s">
        <v>285</v>
      </c>
      <c r="E212" s="3" t="s">
        <v>286</v>
      </c>
      <c r="F212" s="3" t="s">
        <v>287</v>
      </c>
      <c r="G212" s="3"/>
      <c r="H212" s="3" t="s">
        <v>112</v>
      </c>
    </row>
    <row r="213" customFormat="false" ht="15" hidden="false" customHeight="true" outlineLevel="0" collapsed="false">
      <c r="A213" s="3" t="s">
        <v>282</v>
      </c>
      <c r="B213" s="4" t="s">
        <v>283</v>
      </c>
      <c r="C213" s="3" t="s">
        <v>113</v>
      </c>
      <c r="D213" s="3" t="s">
        <v>288</v>
      </c>
      <c r="E213" s="3" t="s">
        <v>289</v>
      </c>
      <c r="F213" s="3" t="s">
        <v>290</v>
      </c>
      <c r="G213" s="3"/>
      <c r="H213" s="3" t="s">
        <v>112</v>
      </c>
    </row>
    <row r="214" customFormat="false" ht="15" hidden="false" customHeight="true" outlineLevel="0" collapsed="false">
      <c r="A214" s="3" t="s">
        <v>282</v>
      </c>
      <c r="B214" s="4" t="s">
        <v>283</v>
      </c>
      <c r="C214" s="3" t="s">
        <v>113</v>
      </c>
      <c r="D214" s="3" t="s">
        <v>294</v>
      </c>
      <c r="E214" s="3" t="s">
        <v>295</v>
      </c>
      <c r="F214" s="3" t="s">
        <v>296</v>
      </c>
      <c r="G214" s="3"/>
      <c r="H214" s="3" t="s">
        <v>112</v>
      </c>
    </row>
    <row r="215" customFormat="false" ht="15" hidden="false" customHeight="true" outlineLevel="0" collapsed="false">
      <c r="A215" s="3" t="s">
        <v>282</v>
      </c>
      <c r="B215" s="4" t="s">
        <v>283</v>
      </c>
      <c r="C215" s="3" t="s">
        <v>116</v>
      </c>
      <c r="D215" s="3" t="s">
        <v>288</v>
      </c>
      <c r="E215" s="3" t="s">
        <v>289</v>
      </c>
      <c r="F215" s="3" t="s">
        <v>290</v>
      </c>
      <c r="G215" s="3"/>
      <c r="H215" s="3" t="s">
        <v>115</v>
      </c>
    </row>
    <row r="216" customFormat="false" ht="15" hidden="false" customHeight="true" outlineLevel="0" collapsed="false">
      <c r="A216" s="3" t="s">
        <v>282</v>
      </c>
      <c r="B216" s="4" t="s">
        <v>283</v>
      </c>
      <c r="C216" s="3" t="s">
        <v>116</v>
      </c>
      <c r="D216" s="3" t="s">
        <v>294</v>
      </c>
      <c r="E216" s="3" t="s">
        <v>295</v>
      </c>
      <c r="F216" s="3" t="s">
        <v>296</v>
      </c>
      <c r="G216" s="3"/>
      <c r="H216" s="3" t="s">
        <v>115</v>
      </c>
    </row>
    <row r="217" customFormat="false" ht="15" hidden="false" customHeight="true" outlineLevel="0" collapsed="false">
      <c r="A217" s="3" t="s">
        <v>282</v>
      </c>
      <c r="B217" s="4" t="s">
        <v>283</v>
      </c>
      <c r="C217" s="3" t="s">
        <v>116</v>
      </c>
      <c r="D217" s="3" t="s">
        <v>297</v>
      </c>
      <c r="E217" s="3" t="s">
        <v>298</v>
      </c>
      <c r="F217" s="3" t="s">
        <v>299</v>
      </c>
      <c r="G217" s="4" t="s">
        <v>135</v>
      </c>
      <c r="H217" s="3" t="s">
        <v>115</v>
      </c>
    </row>
    <row r="218" customFormat="false" ht="15" hidden="false" customHeight="true" outlineLevel="0" collapsed="false">
      <c r="A218" s="3" t="s">
        <v>282</v>
      </c>
      <c r="B218" s="4" t="s">
        <v>283</v>
      </c>
      <c r="C218" s="3" t="s">
        <v>116</v>
      </c>
      <c r="D218" s="3" t="s">
        <v>300</v>
      </c>
      <c r="E218" s="3" t="s">
        <v>301</v>
      </c>
      <c r="F218" s="3" t="s">
        <v>302</v>
      </c>
      <c r="G218" s="4" t="s">
        <v>135</v>
      </c>
      <c r="H218" s="3" t="s">
        <v>115</v>
      </c>
    </row>
    <row r="219" customFormat="false" ht="15" hidden="false" customHeight="true" outlineLevel="0" collapsed="false">
      <c r="A219" s="3" t="s">
        <v>282</v>
      </c>
      <c r="B219" s="4" t="s">
        <v>283</v>
      </c>
      <c r="C219" s="3" t="s">
        <v>118</v>
      </c>
      <c r="D219" s="3" t="s">
        <v>288</v>
      </c>
      <c r="E219" s="3" t="s">
        <v>289</v>
      </c>
      <c r="F219" s="3" t="s">
        <v>290</v>
      </c>
      <c r="G219" s="3"/>
      <c r="H219" s="3" t="s">
        <v>117</v>
      </c>
    </row>
    <row r="220" customFormat="false" ht="15" hidden="false" customHeight="true" outlineLevel="0" collapsed="false">
      <c r="A220" s="3" t="s">
        <v>282</v>
      </c>
      <c r="B220" s="4" t="s">
        <v>283</v>
      </c>
      <c r="C220" s="3" t="s">
        <v>118</v>
      </c>
      <c r="D220" s="3" t="s">
        <v>294</v>
      </c>
      <c r="E220" s="3" t="s">
        <v>295</v>
      </c>
      <c r="F220" s="3" t="s">
        <v>296</v>
      </c>
      <c r="G220" s="3"/>
      <c r="H220" s="3" t="s">
        <v>117</v>
      </c>
    </row>
    <row r="221" customFormat="false" ht="15" hidden="false" customHeight="true" outlineLevel="0" collapsed="false">
      <c r="A221" s="3" t="s">
        <v>282</v>
      </c>
      <c r="B221" s="4" t="s">
        <v>283</v>
      </c>
      <c r="C221" s="3" t="s">
        <v>118</v>
      </c>
      <c r="D221" s="3" t="s">
        <v>297</v>
      </c>
      <c r="E221" s="3" t="s">
        <v>298</v>
      </c>
      <c r="F221" s="3" t="s">
        <v>299</v>
      </c>
      <c r="G221" s="3"/>
      <c r="H221" s="3" t="s">
        <v>117</v>
      </c>
    </row>
    <row r="222" customFormat="false" ht="15" hidden="false" customHeight="true" outlineLevel="0" collapsed="false">
      <c r="A222" s="3" t="s">
        <v>282</v>
      </c>
      <c r="B222" s="4" t="s">
        <v>283</v>
      </c>
      <c r="C222" s="3" t="s">
        <v>118</v>
      </c>
      <c r="D222" s="3" t="s">
        <v>300</v>
      </c>
      <c r="E222" s="3" t="s">
        <v>301</v>
      </c>
      <c r="F222" s="3" t="s">
        <v>302</v>
      </c>
      <c r="G222" s="3"/>
      <c r="H222" s="3" t="s">
        <v>117</v>
      </c>
    </row>
    <row r="223" customFormat="false" ht="15" hidden="false" customHeight="true" outlineLevel="0" collapsed="false">
      <c r="A223" s="3" t="s">
        <v>282</v>
      </c>
      <c r="B223" s="4" t="s">
        <v>283</v>
      </c>
      <c r="C223" s="3" t="s">
        <v>120</v>
      </c>
      <c r="D223" s="3" t="s">
        <v>288</v>
      </c>
      <c r="E223" s="3" t="s">
        <v>289</v>
      </c>
      <c r="F223" s="3" t="s">
        <v>290</v>
      </c>
      <c r="G223" s="4" t="s">
        <v>135</v>
      </c>
      <c r="H223" s="3" t="s">
        <v>119</v>
      </c>
    </row>
    <row r="224" customFormat="false" ht="15" hidden="false" customHeight="true" outlineLevel="0" collapsed="false">
      <c r="A224" s="3" t="s">
        <v>282</v>
      </c>
      <c r="B224" s="4" t="s">
        <v>283</v>
      </c>
      <c r="C224" s="3" t="s">
        <v>120</v>
      </c>
      <c r="D224" s="3" t="s">
        <v>294</v>
      </c>
      <c r="E224" s="3" t="s">
        <v>295</v>
      </c>
      <c r="F224" s="3" t="s">
        <v>296</v>
      </c>
      <c r="G224" s="3"/>
      <c r="H224" s="3" t="s">
        <v>119</v>
      </c>
    </row>
    <row r="225" customFormat="false" ht="15" hidden="false" customHeight="true" outlineLevel="0" collapsed="false">
      <c r="A225" s="3" t="s">
        <v>282</v>
      </c>
      <c r="B225" s="4" t="s">
        <v>283</v>
      </c>
      <c r="C225" s="3" t="s">
        <v>122</v>
      </c>
      <c r="D225" s="3" t="s">
        <v>285</v>
      </c>
      <c r="E225" s="3" t="s">
        <v>286</v>
      </c>
      <c r="F225" s="3" t="s">
        <v>287</v>
      </c>
      <c r="G225" s="3"/>
      <c r="H225" s="3" t="s">
        <v>121</v>
      </c>
    </row>
    <row r="226" customFormat="false" ht="15" hidden="false" customHeight="true" outlineLevel="0" collapsed="false">
      <c r="A226" s="3" t="s">
        <v>282</v>
      </c>
      <c r="B226" s="4" t="s">
        <v>283</v>
      </c>
      <c r="C226" s="3" t="s">
        <v>122</v>
      </c>
      <c r="D226" s="3" t="s">
        <v>288</v>
      </c>
      <c r="E226" s="3" t="s">
        <v>289</v>
      </c>
      <c r="F226" s="3" t="s">
        <v>290</v>
      </c>
      <c r="G226" s="3"/>
      <c r="H226" s="3" t="s">
        <v>121</v>
      </c>
    </row>
    <row r="227" customFormat="false" ht="15" hidden="false" customHeight="true" outlineLevel="0" collapsed="false">
      <c r="A227" s="3" t="s">
        <v>282</v>
      </c>
      <c r="B227" s="4" t="s">
        <v>283</v>
      </c>
      <c r="C227" s="3" t="s">
        <v>122</v>
      </c>
      <c r="D227" s="3" t="s">
        <v>294</v>
      </c>
      <c r="E227" s="3" t="s">
        <v>295</v>
      </c>
      <c r="F227" s="3" t="s">
        <v>296</v>
      </c>
      <c r="G227" s="3"/>
      <c r="H227" s="3" t="s">
        <v>121</v>
      </c>
    </row>
    <row r="228" customFormat="false" ht="15" hidden="false" customHeight="true" outlineLevel="0" collapsed="false">
      <c r="A228" s="3" t="s">
        <v>282</v>
      </c>
      <c r="B228" s="4" t="s">
        <v>283</v>
      </c>
      <c r="C228" s="3" t="s">
        <v>122</v>
      </c>
      <c r="D228" s="3" t="s">
        <v>297</v>
      </c>
      <c r="E228" s="3" t="s">
        <v>298</v>
      </c>
      <c r="F228" s="3" t="s">
        <v>299</v>
      </c>
      <c r="G228" s="3"/>
      <c r="H228" s="3" t="s">
        <v>121</v>
      </c>
    </row>
    <row r="229" customFormat="false" ht="15" hidden="false" customHeight="true" outlineLevel="0" collapsed="false">
      <c r="A229" s="3" t="s">
        <v>282</v>
      </c>
      <c r="B229" s="4" t="s">
        <v>283</v>
      </c>
      <c r="C229" s="3" t="s">
        <v>124</v>
      </c>
      <c r="D229" s="3" t="s">
        <v>288</v>
      </c>
      <c r="E229" s="3" t="s">
        <v>289</v>
      </c>
      <c r="F229" s="3" t="s">
        <v>290</v>
      </c>
      <c r="G229" s="3"/>
      <c r="H229" s="3" t="s">
        <v>123</v>
      </c>
    </row>
    <row r="230" customFormat="false" ht="15" hidden="false" customHeight="true" outlineLevel="0" collapsed="false">
      <c r="A230" s="3" t="s">
        <v>282</v>
      </c>
      <c r="B230" s="4" t="s">
        <v>283</v>
      </c>
      <c r="C230" s="3" t="s">
        <v>124</v>
      </c>
      <c r="D230" s="3" t="s">
        <v>297</v>
      </c>
      <c r="E230" s="3" t="s">
        <v>298</v>
      </c>
      <c r="F230" s="3" t="s">
        <v>299</v>
      </c>
      <c r="G230" s="3"/>
      <c r="H230" s="3" t="s">
        <v>123</v>
      </c>
    </row>
    <row r="231" customFormat="false" ht="15" hidden="false" customHeight="true" outlineLevel="0" collapsed="false">
      <c r="A231" s="3" t="s">
        <v>282</v>
      </c>
      <c r="B231" s="4" t="s">
        <v>283</v>
      </c>
      <c r="C231" s="3" t="s">
        <v>124</v>
      </c>
      <c r="D231" s="3" t="s">
        <v>291</v>
      </c>
      <c r="E231" s="3" t="s">
        <v>292</v>
      </c>
      <c r="F231" s="3"/>
      <c r="G231" s="3"/>
      <c r="H231" s="3" t="s">
        <v>123</v>
      </c>
    </row>
    <row r="232" customFormat="false" ht="15" hidden="false" customHeight="true" outlineLevel="0" collapsed="false">
      <c r="A232" s="3" t="s">
        <v>282</v>
      </c>
      <c r="B232" s="4" t="s">
        <v>283</v>
      </c>
      <c r="C232" s="3" t="s">
        <v>126</v>
      </c>
      <c r="D232" s="3" t="s">
        <v>288</v>
      </c>
      <c r="E232" s="3" t="s">
        <v>289</v>
      </c>
      <c r="F232" s="3" t="s">
        <v>290</v>
      </c>
      <c r="G232" s="3"/>
      <c r="H232" s="3" t="s">
        <v>125</v>
      </c>
    </row>
    <row r="233" customFormat="false" ht="15" hidden="false" customHeight="true" outlineLevel="0" collapsed="false">
      <c r="A233" s="3" t="s">
        <v>282</v>
      </c>
      <c r="B233" s="4" t="s">
        <v>283</v>
      </c>
      <c r="C233" s="3" t="s">
        <v>126</v>
      </c>
      <c r="D233" s="3" t="s">
        <v>291</v>
      </c>
      <c r="E233" s="3" t="s">
        <v>292</v>
      </c>
      <c r="F233" s="3"/>
      <c r="G233" s="3"/>
      <c r="H233" s="3" t="s">
        <v>125</v>
      </c>
    </row>
    <row r="234" customFormat="false" ht="15" hidden="false" customHeight="true" outlineLevel="0" collapsed="false">
      <c r="A234" s="3" t="s">
        <v>282</v>
      </c>
      <c r="B234" s="4" t="s">
        <v>283</v>
      </c>
      <c r="C234" s="3" t="s">
        <v>129</v>
      </c>
      <c r="D234" s="3" t="s">
        <v>285</v>
      </c>
      <c r="E234" s="3" t="s">
        <v>286</v>
      </c>
      <c r="F234" s="3" t="s">
        <v>287</v>
      </c>
      <c r="G234" s="3"/>
      <c r="H234" s="3" t="s">
        <v>128</v>
      </c>
    </row>
    <row r="235" customFormat="false" ht="15" hidden="false" customHeight="true" outlineLevel="0" collapsed="false">
      <c r="A235" s="3" t="s">
        <v>282</v>
      </c>
      <c r="B235" s="4" t="s">
        <v>283</v>
      </c>
      <c r="C235" s="3" t="s">
        <v>129</v>
      </c>
      <c r="D235" s="3" t="s">
        <v>294</v>
      </c>
      <c r="E235" s="3" t="s">
        <v>361</v>
      </c>
      <c r="F235" s="3" t="s">
        <v>359</v>
      </c>
      <c r="G235" s="3"/>
      <c r="H235" s="3" t="s">
        <v>128</v>
      </c>
    </row>
    <row r="236" customFormat="false" ht="15" hidden="false" customHeight="true" outlineLevel="0" collapsed="false">
      <c r="A236" s="3" t="s">
        <v>282</v>
      </c>
      <c r="B236" s="4" t="s">
        <v>283</v>
      </c>
      <c r="C236" s="3" t="s">
        <v>129</v>
      </c>
      <c r="D236" s="3" t="s">
        <v>291</v>
      </c>
      <c r="E236" s="3" t="s">
        <v>292</v>
      </c>
      <c r="F236" s="3"/>
      <c r="G236" s="3"/>
      <c r="H236" s="3" t="s">
        <v>128</v>
      </c>
    </row>
    <row r="237" customFormat="false" ht="15" hidden="false" customHeight="true" outlineLevel="0" collapsed="false">
      <c r="A237" s="3" t="s">
        <v>282</v>
      </c>
      <c r="B237" s="4" t="s">
        <v>283</v>
      </c>
      <c r="C237" s="3" t="s">
        <v>131</v>
      </c>
      <c r="D237" s="3" t="s">
        <v>285</v>
      </c>
      <c r="E237" s="3" t="s">
        <v>286</v>
      </c>
      <c r="F237" s="3" t="s">
        <v>287</v>
      </c>
      <c r="G237" s="3"/>
      <c r="H237" s="3" t="s">
        <v>130</v>
      </c>
    </row>
    <row r="238" customFormat="false" ht="15" hidden="false" customHeight="true" outlineLevel="0" collapsed="false">
      <c r="A238" s="3" t="s">
        <v>282</v>
      </c>
      <c r="B238" s="4" t="s">
        <v>283</v>
      </c>
      <c r="C238" s="3" t="s">
        <v>131</v>
      </c>
      <c r="D238" s="3" t="s">
        <v>288</v>
      </c>
      <c r="E238" s="3" t="s">
        <v>289</v>
      </c>
      <c r="F238" s="3" t="s">
        <v>290</v>
      </c>
      <c r="G238" s="3"/>
      <c r="H238" s="3" t="s">
        <v>130</v>
      </c>
    </row>
    <row r="239" customFormat="false" ht="15" hidden="false" customHeight="true" outlineLevel="0" collapsed="false">
      <c r="A239" s="3" t="s">
        <v>282</v>
      </c>
      <c r="B239" s="4" t="s">
        <v>283</v>
      </c>
      <c r="C239" s="3" t="s">
        <v>131</v>
      </c>
      <c r="D239" s="3" t="s">
        <v>291</v>
      </c>
      <c r="E239" s="3" t="s">
        <v>292</v>
      </c>
      <c r="F239" s="3"/>
      <c r="G239" s="3"/>
      <c r="H239" s="3" t="s">
        <v>130</v>
      </c>
    </row>
    <row r="241" customFormat="false" ht="15" hidden="false" customHeight="true" outlineLevel="0" collapsed="false">
      <c r="A241" s="23" t="s">
        <v>362</v>
      </c>
    </row>
    <row r="242" customFormat="false" ht="15" hidden="false" customHeight="true" outlineLevel="0" collapsed="false">
      <c r="A242" s="23" t="s">
        <v>363</v>
      </c>
    </row>
    <row r="243" customFormat="false" ht="15" hidden="false" customHeight="true" outlineLevel="0" collapsed="false">
      <c r="A243" s="23" t="s">
        <v>364</v>
      </c>
    </row>
    <row r="244" customFormat="false" ht="15" hidden="false" customHeight="true" outlineLevel="0" collapsed="false">
      <c r="A244" s="23" t="s">
        <v>365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2026-09-26T14:05:17Z</dcterms:created>
  <dc:creator>openpyxl</dc:creator>
  <dc:description/>
  <dc:language>en-US</dc:language>
  <cp:lastModifiedBy/>
  <dcterms:modified xsi:type="dcterms:W3CDTF">2026-10-06T13:54:33Z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